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peetle/Desktop/repo/SAM-analyses/2025/battwatts_sensitivity/"/>
    </mc:Choice>
  </mc:AlternateContent>
  <xr:revisionPtr revIDLastSave="0" documentId="8_{3F80CD84-F59C-FA4E-BF6B-AED0F73B071C}" xr6:coauthVersionLast="47" xr6:coauthVersionMax="47" xr10:uidLastSave="{00000000-0000-0000-0000-000000000000}"/>
  <bookViews>
    <workbookView xWindow="0" yWindow="760" windowWidth="34560" windowHeight="20320" xr2:uid="{6DD36224-9BAB-4D24-A3DE-067261D97118}"/>
  </bookViews>
  <sheets>
    <sheet name="battwatts_sensitivity_outputs_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" l="1"/>
  <c r="K23" i="1"/>
  <c r="K21" i="1"/>
  <c r="K19" i="1"/>
  <c r="K17" i="1"/>
  <c r="K15" i="1"/>
  <c r="K13" i="1"/>
  <c r="K11" i="1"/>
  <c r="K9" i="1"/>
  <c r="K7" i="1"/>
  <c r="K5" i="1"/>
  <c r="K3" i="1"/>
  <c r="I25" i="1"/>
  <c r="I23" i="1"/>
  <c r="I21" i="1"/>
  <c r="I19" i="1"/>
  <c r="I17" i="1"/>
  <c r="I15" i="1"/>
  <c r="I13" i="1"/>
  <c r="I11" i="1"/>
  <c r="I9" i="1"/>
  <c r="I7" i="1"/>
  <c r="I5" i="1"/>
  <c r="I3" i="1"/>
</calcChain>
</file>

<file path=xl/sharedStrings.xml><?xml version="1.0" encoding="utf-8"?>
<sst xmlns="http://schemas.openxmlformats.org/spreadsheetml/2006/main" count="107" uniqueCount="47">
  <si>
    <t>state_long</t>
  </si>
  <si>
    <t>state_short</t>
  </si>
  <si>
    <t>utility</t>
  </si>
  <si>
    <t>building_id</t>
  </si>
  <si>
    <t>latitude</t>
  </si>
  <si>
    <t>longitude</t>
  </si>
  <si>
    <t>run_type</t>
  </si>
  <si>
    <t>savings_year1</t>
  </si>
  <si>
    <t>annual_energy</t>
  </si>
  <si>
    <t>npv</t>
  </si>
  <si>
    <t>year_1_bill</t>
  </si>
  <si>
    <t>alabama</t>
  </si>
  <si>
    <t>AL</t>
  </si>
  <si>
    <t>apc</t>
  </si>
  <si>
    <t>tmy</t>
  </si>
  <si>
    <t>amy</t>
  </si>
  <si>
    <t>arizona</t>
  </si>
  <si>
    <t>AZ</t>
  </si>
  <si>
    <t>aps</t>
  </si>
  <si>
    <t>california</t>
  </si>
  <si>
    <t>CA</t>
  </si>
  <si>
    <t>sdge</t>
  </si>
  <si>
    <t>colorado</t>
  </si>
  <si>
    <t>CO</t>
  </si>
  <si>
    <t>xcel</t>
  </si>
  <si>
    <t>massachusetts</t>
  </si>
  <si>
    <t>MA</t>
  </si>
  <si>
    <t>nationalgrid</t>
  </si>
  <si>
    <t>minnesota</t>
  </si>
  <si>
    <t>MN</t>
  </si>
  <si>
    <t>newyork</t>
  </si>
  <si>
    <t>NY</t>
  </si>
  <si>
    <t>coned</t>
  </si>
  <si>
    <t>ohio</t>
  </si>
  <si>
    <t>OH</t>
  </si>
  <si>
    <t>aep</t>
  </si>
  <si>
    <t>oregon</t>
  </si>
  <si>
    <t>OR</t>
  </si>
  <si>
    <t>pge</t>
  </si>
  <si>
    <t>texas</t>
  </si>
  <si>
    <t>TX</t>
  </si>
  <si>
    <t>vermont</t>
  </si>
  <si>
    <t>VT</t>
  </si>
  <si>
    <t>gmp</t>
  </si>
  <si>
    <t>wisconsin</t>
  </si>
  <si>
    <t>WI</t>
  </si>
  <si>
    <t>we_energies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</si>
</sst>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 between annual energy and</a:t>
            </a:r>
            <a:r>
              <a:rPr lang="en-US" baseline="0"/>
              <a:t> bill savings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battwatts_sensitivity_outputs_p!$K$3:$K$25</c:f>
              <c:numCache>
                <c:formatCode>General</c:formatCode>
                <c:ptCount val="23"/>
                <c:pt idx="0">
                  <c:v>-4.6532156081035184E-2</c:v>
                </c:pt>
                <c:pt idx="2">
                  <c:v>-1.6016170640467608E-3</c:v>
                </c:pt>
                <c:pt idx="4">
                  <c:v>4.0645669371219464E-3</c:v>
                </c:pt>
                <c:pt idx="6">
                  <c:v>1.6155622599828681E-2</c:v>
                </c:pt>
                <c:pt idx="8">
                  <c:v>-7.5851963829272284E-2</c:v>
                </c:pt>
                <c:pt idx="10">
                  <c:v>-3.9983571526529912E-2</c:v>
                </c:pt>
                <c:pt idx="12">
                  <c:v>-0.10393403436795298</c:v>
                </c:pt>
                <c:pt idx="14">
                  <c:v>-4.1411240689592038E-2</c:v>
                </c:pt>
                <c:pt idx="16">
                  <c:v>-2.4950060753588122E-3</c:v>
                </c:pt>
                <c:pt idx="18">
                  <c:v>-9.3012273697352342E-3</c:v>
                </c:pt>
                <c:pt idx="20">
                  <c:v>-3.1588448810987359E-2</c:v>
                </c:pt>
                <c:pt idx="22">
                  <c:v>-3.7320617194193618E-3</c:v>
                </c:pt>
              </c:numCache>
            </c:numRef>
          </c:xVal>
          <c:yVal>
            <c:numRef>
              <c:f>battwatts_sensitivity_outputs_p!$I$3:$I$25</c:f>
              <c:numCache>
                <c:formatCode>General</c:formatCode>
                <c:ptCount val="23"/>
                <c:pt idx="0">
                  <c:v>-7.5130484747123367E-3</c:v>
                </c:pt>
                <c:pt idx="2">
                  <c:v>-2.1721284019739647E-3</c:v>
                </c:pt>
                <c:pt idx="4">
                  <c:v>9.9981072305054368E-3</c:v>
                </c:pt>
                <c:pt idx="6">
                  <c:v>2.1559245841040561E-2</c:v>
                </c:pt>
                <c:pt idx="8">
                  <c:v>-6.9809333275092894E-2</c:v>
                </c:pt>
                <c:pt idx="10">
                  <c:v>-5.625432491567562E-2</c:v>
                </c:pt>
                <c:pt idx="12">
                  <c:v>-9.5998455541423611E-2</c:v>
                </c:pt>
                <c:pt idx="14">
                  <c:v>-4.0606903568528099E-2</c:v>
                </c:pt>
                <c:pt idx="16">
                  <c:v>-2.5852082113247257E-2</c:v>
                </c:pt>
                <c:pt idx="18">
                  <c:v>1.7999835254794792E-2</c:v>
                </c:pt>
                <c:pt idx="20">
                  <c:v>-3.7589086902002786E-2</c:v>
                </c:pt>
                <c:pt idx="22">
                  <c:v>-5.1161262448479929E-3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66-4CDA-BEE2-CD53A6AB6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450720"/>
        <c:axId val="606449640"/>
      </c:scatterChart>
      <c:valAx>
        <c:axId val="60645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</a:t>
                </a:r>
                <a:r>
                  <a:rPr lang="en-US" baseline="0"/>
                  <a:t> Energy Difference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449640"/>
        <c:crosses val="autoZero"/>
        <c:crossBetween val="midCat"/>
      </c:valAx>
      <c:valAx>
        <c:axId val="606449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Bill Savings Difference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45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349250</xdr:colOff>
      <xdr:row>8</xdr:row>
      <xdr:rowOff>6350</xdr:rowOff>
    </xdr:from>
    <xdr:to>
      <xdr:col>27</xdr:col>
      <xdr:colOff>25400</xdr:colOff>
      <xdr:row>38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6286A2-4BFC-4294-AC3F-3D6C49B64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4047-3C0B-4BB0-9565-8FFA6DD9DAAE}">
  <dimension ref="A1:M25"/>
  <sheetViews>
    <sheetView tabSelected="1" workbookViewId="0">
      <selection activeCell="K3" sqref="K3:K25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L1" t="s">
        <v>9</v>
      </c>
      <c r="M1" t="s">
        <v>10</v>
      </c>
    </row>
    <row r="2" spans="1:13" x14ac:dyDescent="0.2">
      <c r="A2" t="s">
        <v>11</v>
      </c>
      <c r="B2" t="s">
        <v>12</v>
      </c>
      <c r="C2" t="s">
        <v>13</v>
      </c>
      <c r="D2">
        <v>46496</v>
      </c>
      <c r="E2">
        <v>33.56</v>
      </c>
      <c r="F2">
        <v>-86.75</v>
      </c>
      <c r="G2" t="s">
        <v>14</v>
      </c>
      <c r="H2">
        <v>762.39365653025197</v>
      </c>
      <c r="J2">
        <v>9041.8682375594399</v>
      </c>
      <c r="L2">
        <v>-13826.521573751001</v>
      </c>
      <c r="M2">
        <v>1067.2647818381499</v>
      </c>
    </row>
    <row r="3" spans="1:13" x14ac:dyDescent="0.2">
      <c r="A3" t="s">
        <v>11</v>
      </c>
      <c r="B3" t="s">
        <v>12</v>
      </c>
      <c r="C3" t="s">
        <v>13</v>
      </c>
      <c r="D3">
        <v>46496</v>
      </c>
      <c r="E3">
        <v>33.56</v>
      </c>
      <c r="F3">
        <v>-86.75</v>
      </c>
      <c r="G3" t="s">
        <v>15</v>
      </c>
      <c r="H3">
        <v>756.665756031927</v>
      </c>
      <c r="I3">
        <f>(H3-H2)/H2</f>
        <v>-7.5130484747123367E-3</v>
      </c>
      <c r="J3">
        <v>8621.1306134651695</v>
      </c>
      <c r="K3">
        <f>(J3-J2)/J2</f>
        <v>-4.6532156081035184E-2</v>
      </c>
      <c r="L3">
        <v>-13897.1063927779</v>
      </c>
      <c r="M3">
        <v>1072.9926823364799</v>
      </c>
    </row>
    <row r="4" spans="1:13" x14ac:dyDescent="0.2">
      <c r="A4" t="s">
        <v>16</v>
      </c>
      <c r="B4" t="s">
        <v>17</v>
      </c>
      <c r="C4" t="s">
        <v>18</v>
      </c>
      <c r="D4">
        <v>112157</v>
      </c>
      <c r="E4">
        <v>35.14</v>
      </c>
      <c r="F4">
        <v>-111.67</v>
      </c>
      <c r="G4" t="s">
        <v>14</v>
      </c>
      <c r="H4">
        <v>847.03422635883203</v>
      </c>
      <c r="J4">
        <v>11330.222374223</v>
      </c>
      <c r="L4">
        <v>-13001.8125942189</v>
      </c>
      <c r="M4">
        <v>534.09180741817295</v>
      </c>
    </row>
    <row r="5" spans="1:13" x14ac:dyDescent="0.2">
      <c r="A5" t="s">
        <v>16</v>
      </c>
      <c r="B5" t="s">
        <v>17</v>
      </c>
      <c r="C5" t="s">
        <v>18</v>
      </c>
      <c r="D5">
        <v>112157</v>
      </c>
      <c r="E5">
        <v>35.14</v>
      </c>
      <c r="F5">
        <v>-111.67</v>
      </c>
      <c r="G5" t="s">
        <v>15</v>
      </c>
      <c r="H5">
        <v>845.19435925831397</v>
      </c>
      <c r="I5">
        <f>(H5-H4)/H4</f>
        <v>-2.1721284019739647E-3</v>
      </c>
      <c r="J5">
        <v>11312.075696729</v>
      </c>
      <c r="K5">
        <f>(J5-J4)/J4</f>
        <v>-1.6016170640467608E-3</v>
      </c>
      <c r="L5">
        <v>-13024.590716221001</v>
      </c>
      <c r="M5">
        <v>535.93167451869101</v>
      </c>
    </row>
    <row r="6" spans="1:13" x14ac:dyDescent="0.2">
      <c r="A6" t="s">
        <v>19</v>
      </c>
      <c r="B6" t="s">
        <v>20</v>
      </c>
      <c r="C6" t="s">
        <v>21</v>
      </c>
      <c r="D6">
        <v>111549</v>
      </c>
      <c r="E6">
        <v>32.869999999999997</v>
      </c>
      <c r="F6">
        <v>-117.15</v>
      </c>
      <c r="G6" t="s">
        <v>14</v>
      </c>
      <c r="H6">
        <v>2165.3748725953201</v>
      </c>
      <c r="J6">
        <v>11233.731410124399</v>
      </c>
      <c r="L6">
        <v>2794.50227654334</v>
      </c>
      <c r="M6">
        <v>2885.1501728347498</v>
      </c>
    </row>
    <row r="7" spans="1:13" x14ac:dyDescent="0.2">
      <c r="A7" t="s">
        <v>19</v>
      </c>
      <c r="B7" t="s">
        <v>20</v>
      </c>
      <c r="C7" t="s">
        <v>21</v>
      </c>
      <c r="D7">
        <v>111549</v>
      </c>
      <c r="E7">
        <v>32.869999999999997</v>
      </c>
      <c r="F7">
        <v>-117.15</v>
      </c>
      <c r="G7" t="s">
        <v>15</v>
      </c>
      <c r="H7">
        <v>2187.0245227657701</v>
      </c>
      <c r="I7">
        <f>(H7-H6)/H6</f>
        <v>9.9981072305054368E-3</v>
      </c>
      <c r="J7">
        <v>11279.391663394499</v>
      </c>
      <c r="K7">
        <f>(J7-J6)/J6</f>
        <v>4.0645669371219464E-3</v>
      </c>
      <c r="L7">
        <v>3054.4349348822898</v>
      </c>
      <c r="M7">
        <v>2863.5005226642902</v>
      </c>
    </row>
    <row r="8" spans="1:13" x14ac:dyDescent="0.2">
      <c r="A8" t="s">
        <v>22</v>
      </c>
      <c r="B8" t="s">
        <v>23</v>
      </c>
      <c r="C8" t="s">
        <v>24</v>
      </c>
      <c r="D8">
        <v>126745</v>
      </c>
      <c r="E8">
        <v>39.81</v>
      </c>
      <c r="F8">
        <v>-105.14</v>
      </c>
      <c r="G8" t="s">
        <v>14</v>
      </c>
      <c r="H8">
        <v>1432.2930208712501</v>
      </c>
      <c r="J8">
        <v>9971.3266799887006</v>
      </c>
      <c r="L8">
        <v>-6259.0062514056699</v>
      </c>
      <c r="M8">
        <v>236.30823120874601</v>
      </c>
    </row>
    <row r="9" spans="1:13" x14ac:dyDescent="0.2">
      <c r="A9" t="s">
        <v>22</v>
      </c>
      <c r="B9" t="s">
        <v>23</v>
      </c>
      <c r="C9" t="s">
        <v>24</v>
      </c>
      <c r="D9">
        <v>126745</v>
      </c>
      <c r="E9">
        <v>39.81</v>
      </c>
      <c r="F9">
        <v>-105.14</v>
      </c>
      <c r="G9" t="s">
        <v>15</v>
      </c>
      <c r="H9">
        <v>1463.17217822462</v>
      </c>
      <c r="I9">
        <f>(H9-H8)/H8</f>
        <v>2.1559245841040561E-2</v>
      </c>
      <c r="J9">
        <v>10132.419670650201</v>
      </c>
      <c r="K9">
        <f>(J9-J8)/J8</f>
        <v>1.6155622599828681E-2</v>
      </c>
      <c r="L9">
        <v>-5904.3361110128199</v>
      </c>
      <c r="M9">
        <v>205.42907385537299</v>
      </c>
    </row>
    <row r="10" spans="1:13" x14ac:dyDescent="0.2">
      <c r="A10" t="s">
        <v>25</v>
      </c>
      <c r="B10" t="s">
        <v>26</v>
      </c>
      <c r="C10" t="s">
        <v>27</v>
      </c>
      <c r="D10">
        <v>305</v>
      </c>
      <c r="E10">
        <v>41.88</v>
      </c>
      <c r="F10">
        <v>-71.02</v>
      </c>
      <c r="G10" t="s">
        <v>14</v>
      </c>
      <c r="H10">
        <v>3724.4040034877999</v>
      </c>
      <c r="J10">
        <v>8661.4478181212307</v>
      </c>
      <c r="L10">
        <v>20209.769961013299</v>
      </c>
      <c r="M10">
        <v>1120.11828851219</v>
      </c>
    </row>
    <row r="11" spans="1:13" x14ac:dyDescent="0.2">
      <c r="A11" t="s">
        <v>25</v>
      </c>
      <c r="B11" t="s">
        <v>26</v>
      </c>
      <c r="C11" t="s">
        <v>27</v>
      </c>
      <c r="D11">
        <v>305</v>
      </c>
      <c r="E11">
        <v>41.88</v>
      </c>
      <c r="F11">
        <v>-71.02</v>
      </c>
      <c r="G11" t="s">
        <v>15</v>
      </c>
      <c r="H11">
        <v>3464.4058431572298</v>
      </c>
      <c r="I11">
        <f>(H11-H10)/H10</f>
        <v>-6.9809333275092894E-2</v>
      </c>
      <c r="J11">
        <v>8004.4599915119697</v>
      </c>
      <c r="K11">
        <f>(J11-J10)/J10</f>
        <v>-7.5851963829272284E-2</v>
      </c>
      <c r="L11">
        <v>17105.337488127301</v>
      </c>
      <c r="M11">
        <v>1380.1164488427601</v>
      </c>
    </row>
    <row r="12" spans="1:13" x14ac:dyDescent="0.2">
      <c r="A12" t="s">
        <v>28</v>
      </c>
      <c r="B12" t="s">
        <v>29</v>
      </c>
      <c r="C12" t="s">
        <v>24</v>
      </c>
      <c r="D12">
        <v>442412</v>
      </c>
      <c r="E12">
        <v>44.85</v>
      </c>
      <c r="F12">
        <v>-93.03</v>
      </c>
      <c r="G12" t="s">
        <v>14</v>
      </c>
      <c r="H12">
        <v>1787.8769030829501</v>
      </c>
      <c r="J12">
        <v>8445.3204160173009</v>
      </c>
      <c r="L12">
        <v>-2177.5429025517601</v>
      </c>
      <c r="M12">
        <v>151.63667701704901</v>
      </c>
    </row>
    <row r="13" spans="1:13" x14ac:dyDescent="0.2">
      <c r="A13" t="s">
        <v>28</v>
      </c>
      <c r="B13" t="s">
        <v>29</v>
      </c>
      <c r="C13" t="s">
        <v>24</v>
      </c>
      <c r="D13">
        <v>442412</v>
      </c>
      <c r="E13">
        <v>44.85</v>
      </c>
      <c r="F13">
        <v>-93.03</v>
      </c>
      <c r="G13" t="s">
        <v>15</v>
      </c>
      <c r="H13">
        <v>1687.3010948676899</v>
      </c>
      <c r="I13">
        <f>(H13-H12)/H12</f>
        <v>-5.625432491567562E-2</v>
      </c>
      <c r="J13">
        <v>8107.6463430990098</v>
      </c>
      <c r="K13">
        <f>(J13-J12)/J12</f>
        <v>-3.9983571526529912E-2</v>
      </c>
      <c r="L13">
        <v>-3330.6306393784498</v>
      </c>
      <c r="M13">
        <v>252.21248523230599</v>
      </c>
    </row>
    <row r="14" spans="1:13" x14ac:dyDescent="0.2">
      <c r="A14" t="s">
        <v>30</v>
      </c>
      <c r="B14" t="s">
        <v>31</v>
      </c>
      <c r="C14" t="s">
        <v>32</v>
      </c>
      <c r="D14">
        <v>404322</v>
      </c>
      <c r="E14">
        <v>40.68</v>
      </c>
      <c r="F14">
        <v>-74.17</v>
      </c>
      <c r="G14" t="s">
        <v>14</v>
      </c>
      <c r="H14">
        <v>2842.8430560321799</v>
      </c>
      <c r="J14">
        <v>8355.7669406971199</v>
      </c>
      <c r="L14">
        <v>9957.7850027811201</v>
      </c>
      <c r="M14">
        <v>2071.1802447278101</v>
      </c>
    </row>
    <row r="15" spans="1:13" x14ac:dyDescent="0.2">
      <c r="A15" t="s">
        <v>30</v>
      </c>
      <c r="B15" t="s">
        <v>31</v>
      </c>
      <c r="C15" t="s">
        <v>32</v>
      </c>
      <c r="D15">
        <v>404322</v>
      </c>
      <c r="E15">
        <v>40.68</v>
      </c>
      <c r="F15">
        <v>-74.17</v>
      </c>
      <c r="G15" t="s">
        <v>15</v>
      </c>
      <c r="H15">
        <v>2569.9345133064298</v>
      </c>
      <c r="I15">
        <f>(H15-H14)/H14</f>
        <v>-9.5998455541423611E-2</v>
      </c>
      <c r="J15">
        <v>7487.3183723121001</v>
      </c>
      <c r="K15">
        <f>(J15-J14)/J14</f>
        <v>-0.10393403436795298</v>
      </c>
      <c r="L15">
        <v>6831.1877762512704</v>
      </c>
      <c r="M15">
        <v>2344.0887874535601</v>
      </c>
    </row>
    <row r="16" spans="1:13" x14ac:dyDescent="0.2">
      <c r="A16" t="s">
        <v>33</v>
      </c>
      <c r="B16" t="s">
        <v>34</v>
      </c>
      <c r="C16" t="s">
        <v>35</v>
      </c>
      <c r="D16">
        <v>448494</v>
      </c>
      <c r="E16">
        <v>39.99</v>
      </c>
      <c r="F16">
        <v>-82.88</v>
      </c>
      <c r="G16" t="s">
        <v>14</v>
      </c>
      <c r="H16">
        <v>1292.2923055096201</v>
      </c>
      <c r="J16">
        <v>8065.73173098598</v>
      </c>
      <c r="L16">
        <v>-7828.0176513342803</v>
      </c>
      <c r="M16">
        <v>646.86560728287702</v>
      </c>
    </row>
    <row r="17" spans="1:13" x14ac:dyDescent="0.2">
      <c r="A17" t="s">
        <v>33</v>
      </c>
      <c r="B17" t="s">
        <v>34</v>
      </c>
      <c r="C17" t="s">
        <v>35</v>
      </c>
      <c r="D17">
        <v>448494</v>
      </c>
      <c r="E17">
        <v>39.99</v>
      </c>
      <c r="F17">
        <v>-82.88</v>
      </c>
      <c r="G17" t="s">
        <v>15</v>
      </c>
      <c r="H17">
        <v>1239.8163164774401</v>
      </c>
      <c r="I17">
        <f>(H17-H16)/H16</f>
        <v>-4.0606903568528099E-2</v>
      </c>
      <c r="J17">
        <v>7731.7197729364398</v>
      </c>
      <c r="K17">
        <f>(J17-J16)/J16</f>
        <v>-4.1411240689592038E-2</v>
      </c>
      <c r="L17">
        <v>-8432.0714015066806</v>
      </c>
      <c r="M17">
        <v>699.34159631505497</v>
      </c>
    </row>
    <row r="18" spans="1:13" x14ac:dyDescent="0.2">
      <c r="A18" t="s">
        <v>36</v>
      </c>
      <c r="B18" t="s">
        <v>37</v>
      </c>
      <c r="C18" t="s">
        <v>38</v>
      </c>
      <c r="D18">
        <v>67263</v>
      </c>
      <c r="E18">
        <v>45.59</v>
      </c>
      <c r="F18">
        <v>-122.6</v>
      </c>
      <c r="G18" t="s">
        <v>14</v>
      </c>
      <c r="H18">
        <v>873.78878015154999</v>
      </c>
      <c r="J18">
        <v>7536.4092728214</v>
      </c>
      <c r="L18">
        <v>-12001.390382260601</v>
      </c>
      <c r="M18">
        <v>1391.03729061844</v>
      </c>
    </row>
    <row r="19" spans="1:13" x14ac:dyDescent="0.2">
      <c r="A19" t="s">
        <v>36</v>
      </c>
      <c r="B19" t="s">
        <v>37</v>
      </c>
      <c r="C19" t="s">
        <v>38</v>
      </c>
      <c r="D19">
        <v>67263</v>
      </c>
      <c r="E19">
        <v>45.59</v>
      </c>
      <c r="F19">
        <v>-122.6</v>
      </c>
      <c r="G19" t="s">
        <v>15</v>
      </c>
      <c r="H19">
        <v>851.19952085743796</v>
      </c>
      <c r="I19">
        <f>(H19-H18)/H18</f>
        <v>-2.5852082113247257E-2</v>
      </c>
      <c r="J19">
        <v>7517.6058858993201</v>
      </c>
      <c r="K19">
        <f>(J19-J18)/J18</f>
        <v>-2.4950060753588122E-3</v>
      </c>
      <c r="L19">
        <v>-12185.196489629599</v>
      </c>
      <c r="M19">
        <v>1413.62654991256</v>
      </c>
    </row>
    <row r="20" spans="1:13" x14ac:dyDescent="0.2">
      <c r="A20" t="s">
        <v>39</v>
      </c>
      <c r="B20" t="s">
        <v>40</v>
      </c>
      <c r="C20" t="s">
        <v>24</v>
      </c>
      <c r="D20">
        <v>168160</v>
      </c>
      <c r="E20">
        <v>35.22</v>
      </c>
      <c r="F20">
        <v>-101.71</v>
      </c>
      <c r="G20" t="s">
        <v>14</v>
      </c>
      <c r="H20">
        <v>1049.0091448492601</v>
      </c>
      <c r="J20">
        <v>10998.328467204299</v>
      </c>
      <c r="L20">
        <v>-9904.3672315917793</v>
      </c>
      <c r="M20">
        <v>234.45752535773099</v>
      </c>
    </row>
    <row r="21" spans="1:13" x14ac:dyDescent="0.2">
      <c r="A21" t="s">
        <v>39</v>
      </c>
      <c r="B21" t="s">
        <v>40</v>
      </c>
      <c r="C21" t="s">
        <v>24</v>
      </c>
      <c r="D21">
        <v>168160</v>
      </c>
      <c r="E21">
        <v>35.22</v>
      </c>
      <c r="F21">
        <v>-101.71</v>
      </c>
      <c r="G21" t="s">
        <v>15</v>
      </c>
      <c r="H21">
        <v>1067.89113663732</v>
      </c>
      <c r="I21">
        <f>(H21-H20)/H20</f>
        <v>1.7999835254794792E-2</v>
      </c>
      <c r="J21">
        <v>10896.0305134438</v>
      </c>
      <c r="K21">
        <f>(J21-J20)/J20</f>
        <v>-9.3012273697352342E-3</v>
      </c>
      <c r="L21">
        <v>-9942.1375090682395</v>
      </c>
      <c r="M21">
        <v>215.57553356967901</v>
      </c>
    </row>
    <row r="22" spans="1:13" x14ac:dyDescent="0.2">
      <c r="A22" t="s">
        <v>41</v>
      </c>
      <c r="B22" t="s">
        <v>42</v>
      </c>
      <c r="C22" t="s">
        <v>43</v>
      </c>
      <c r="D22">
        <v>1652</v>
      </c>
      <c r="E22">
        <v>44.47</v>
      </c>
      <c r="F22">
        <v>-73.150000000000006</v>
      </c>
      <c r="G22" t="s">
        <v>14</v>
      </c>
      <c r="H22">
        <v>1488.29070552441</v>
      </c>
      <c r="J22">
        <v>7791.1816478707697</v>
      </c>
      <c r="L22">
        <v>-5588.9692591762296</v>
      </c>
      <c r="M22">
        <v>991.02039352558302</v>
      </c>
    </row>
    <row r="23" spans="1:13" x14ac:dyDescent="0.2">
      <c r="A23" t="s">
        <v>41</v>
      </c>
      <c r="B23" t="s">
        <v>42</v>
      </c>
      <c r="C23" t="s">
        <v>43</v>
      </c>
      <c r="D23">
        <v>1652</v>
      </c>
      <c r="E23">
        <v>44.47</v>
      </c>
      <c r="F23">
        <v>-73.150000000000006</v>
      </c>
      <c r="G23" t="s">
        <v>15</v>
      </c>
      <c r="H23">
        <v>1432.3472168590099</v>
      </c>
      <c r="I23">
        <f>(H23-H22)/H22</f>
        <v>-3.7589086902002786E-2</v>
      </c>
      <c r="J23">
        <v>7545.0703052098997</v>
      </c>
      <c r="K23">
        <f>(J23-J22)/J22</f>
        <v>-3.1588448810987359E-2</v>
      </c>
      <c r="L23">
        <v>-6223.9011985787802</v>
      </c>
      <c r="M23">
        <v>1046.96388219098</v>
      </c>
    </row>
    <row r="24" spans="1:13" x14ac:dyDescent="0.2">
      <c r="A24" t="s">
        <v>44</v>
      </c>
      <c r="B24" t="s">
        <v>45</v>
      </c>
      <c r="C24" t="s">
        <v>46</v>
      </c>
      <c r="D24">
        <v>467842</v>
      </c>
      <c r="E24">
        <v>42.95</v>
      </c>
      <c r="F24">
        <v>-87.9</v>
      </c>
      <c r="G24" t="s">
        <v>14</v>
      </c>
      <c r="H24">
        <v>1394.56945050071</v>
      </c>
      <c r="J24">
        <v>8292.5516027999292</v>
      </c>
      <c r="L24">
        <v>-6531.0363079619901</v>
      </c>
      <c r="M24">
        <v>484.88978098928698</v>
      </c>
    </row>
    <row r="25" spans="1:13" x14ac:dyDescent="0.2">
      <c r="A25" t="s">
        <v>44</v>
      </c>
      <c r="B25" t="s">
        <v>45</v>
      </c>
      <c r="C25" t="s">
        <v>46</v>
      </c>
      <c r="D25">
        <v>467842</v>
      </c>
      <c r="E25">
        <v>42.95</v>
      </c>
      <c r="F25">
        <v>-87.9</v>
      </c>
      <c r="G25" t="s">
        <v>15</v>
      </c>
      <c r="H25">
        <v>1387.4346571347401</v>
      </c>
      <c r="I25">
        <f>(H25-H24)/H24</f>
        <v>-5.1161262448479929E-3</v>
      </c>
      <c r="J25">
        <v>8261.60328840681</v>
      </c>
      <c r="K25">
        <f>(J25-J24)/J24</f>
        <v>-3.7320617194193618E-3</v>
      </c>
      <c r="L25">
        <v>-6655.17005899785</v>
      </c>
      <c r="M25">
        <v>492.02457435525099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battwatts_sensitivity_outputs_p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Speetles, Brittany</cp:lastModifiedBy>
  <dcterms:created xsi:type="dcterms:W3CDTF">2025-04-21T15:53:27Z</dcterms:created>
  <dcterms:modified xsi:type="dcterms:W3CDTF">2025-04-21T22:46:51Z</dcterms:modified>
</cp:coreProperties>
</file>