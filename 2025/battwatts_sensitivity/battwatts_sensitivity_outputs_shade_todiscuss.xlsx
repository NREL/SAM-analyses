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speetle/Desktop/repo/SAM-analyses/2025/battwatts_sensitivity/"/>
    </mc:Choice>
  </mc:AlternateContent>
  <xr:revisionPtr revIDLastSave="0" documentId="13_ncr:9_{C0B2E66D-17D5-E84B-A849-FD5ED3D275E9}" xr6:coauthVersionLast="47" xr6:coauthVersionMax="47" xr10:uidLastSave="{00000000-0000-0000-0000-000000000000}"/>
  <bookViews>
    <workbookView xWindow="580" yWindow="760" windowWidth="33980" windowHeight="20040" xr2:uid="{88777FE6-FCBD-8240-B1A6-FED69E4F09BD}"/>
  </bookViews>
  <sheets>
    <sheet name="battwatts_sensitivity_outputs_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2" i="1"/>
</calcChain>
</file>

<file path=xl/sharedStrings.xml><?xml version="1.0" encoding="utf-8"?>
<sst xmlns="http://schemas.openxmlformats.org/spreadsheetml/2006/main" count="407" uniqueCount="138">
  <si>
    <t>state_long</t>
  </si>
  <si>
    <t>utility</t>
  </si>
  <si>
    <t>building_id</t>
  </si>
  <si>
    <t>latitude</t>
  </si>
  <si>
    <t>longitude</t>
  </si>
  <si>
    <t>year</t>
  </si>
  <si>
    <t>run_type</t>
  </si>
  <si>
    <t>savings_year1_pvonly_anloss</t>
  </si>
  <si>
    <t>annual_energy_pvonly_anloss</t>
  </si>
  <si>
    <t>year_1_bill_pvonly_anloss</t>
  </si>
  <si>
    <t>savings_year1_withbattery_anloss</t>
  </si>
  <si>
    <t>annual_energy_withbattery_anloss</t>
  </si>
  <si>
    <t>year_1_bill_withbattery_anloss</t>
  </si>
  <si>
    <t>savings_year1_pvonly_3dshade</t>
  </si>
  <si>
    <t>annual_energy_pvonly_3dshade</t>
  </si>
  <si>
    <t>year_1_bill_pvonly_3dshade</t>
  </si>
  <si>
    <t>savings_year1_withbattery_3dshade</t>
  </si>
  <si>
    <t>annual_energy_withbattery_3dshade</t>
  </si>
  <si>
    <t>year_1_bill_withbattery_3dshade</t>
  </si>
  <si>
    <t>arizona</t>
  </si>
  <si>
    <t>aps</t>
  </si>
  <si>
    <t>tmy</t>
  </si>
  <si>
    <t>11330.22237422229</t>
  </si>
  <si>
    <t>705.9252528552471</t>
  </si>
  <si>
    <t>11106.883639154366</t>
  </si>
  <si>
    <t>513.3273623774065</t>
  </si>
  <si>
    <t>amy</t>
  </si>
  <si>
    <t>11312.075696728703</t>
  </si>
  <si>
    <t>698.6947081173583</t>
  </si>
  <si>
    <t>11082.609277864387</t>
  </si>
  <si>
    <t>372.35055447173147</t>
  </si>
  <si>
    <t>11102.286690403884</t>
  </si>
  <si>
    <t>399.3339831081212</t>
  </si>
  <si>
    <t>11336.78690213039</t>
  </si>
  <si>
    <t>657.3477810770474</t>
  </si>
  <si>
    <t>11101.817595094295</t>
  </si>
  <si>
    <t>342.8791143505963</t>
  </si>
  <si>
    <t>815.2374917596566</t>
  </si>
  <si>
    <t>11103.89417083127</t>
  </si>
  <si>
    <t>627.9437504437518</t>
  </si>
  <si>
    <t>11855.872040646602</t>
  </si>
  <si>
    <t>751.4939461439754</t>
  </si>
  <si>
    <t>11617.410859111535</t>
  </si>
  <si>
    <t>458.11016401516105</t>
  </si>
  <si>
    <t>735.9748765238935</t>
  </si>
  <si>
    <t>11102.26335911967</t>
  </si>
  <si>
    <t>446.0744636305128</t>
  </si>
  <si>
    <t>11443.475055556753</t>
  </si>
  <si>
    <t>703.5088070086067</t>
  </si>
  <si>
    <t>11217.462572172733</t>
  </si>
  <si>
    <t>408.80721291776996</t>
  </si>
  <si>
    <t>736.4997529608695</t>
  </si>
  <si>
    <t>484.3453591762398</t>
  </si>
  <si>
    <t>11395.42201984899</t>
  </si>
  <si>
    <t>713.1874786017681</t>
  </si>
  <si>
    <t>11171.974502452062</t>
  </si>
  <si>
    <t>382.1725639375999</t>
  </si>
  <si>
    <t>705.2237511103518</t>
  </si>
  <si>
    <t>11106.867577183972</t>
  </si>
  <si>
    <t>494.56496018683447</t>
  </si>
  <si>
    <t>11559.837818710137</t>
  </si>
  <si>
    <t>684.0652313813729</t>
  </si>
  <si>
    <t>11326.01041059272</t>
  </si>
  <si>
    <t>384.1262770985116</t>
  </si>
  <si>
    <t>california</t>
  </si>
  <si>
    <t>sdge</t>
  </si>
  <si>
    <t>3180.2663377059835</t>
  </si>
  <si>
    <t>11112.077209931234</t>
  </si>
  <si>
    <t>2003.3507173895568</t>
  </si>
  <si>
    <t>3156.3585871043356</t>
  </si>
  <si>
    <t>11087.737622098963</t>
  </si>
  <si>
    <t>1925.5585338230749</t>
  </si>
  <si>
    <t>3132.692788491575</t>
  </si>
  <si>
    <t>11108.527372644714</t>
  </si>
  <si>
    <t>1944.4501368321837</t>
  </si>
  <si>
    <t>3073.4691426889267</t>
  </si>
  <si>
    <t>11109.927119506703</t>
  </si>
  <si>
    <t>1845.2877950360796</t>
  </si>
  <si>
    <t>3388.702137433378</t>
  </si>
  <si>
    <t>11112.703378032214</t>
  </si>
  <si>
    <t>2211.9561366961034</t>
  </si>
  <si>
    <t>3281.6961056191094</t>
  </si>
  <si>
    <t>11633.269289830903</t>
  </si>
  <si>
    <t>2075.282680807578</t>
  </si>
  <si>
    <t>3178.3152869846936</t>
  </si>
  <si>
    <t>11105.562567749177</t>
  </si>
  <si>
    <t>1959.1812245536555</t>
  </si>
  <si>
    <t>3155.406737771763</t>
  </si>
  <si>
    <t>11219.980350409169</t>
  </si>
  <si>
    <t>1938.835587751894</t>
  </si>
  <si>
    <t>3180.113706216875</t>
  </si>
  <si>
    <t>11107.344683623138</t>
  </si>
  <si>
    <t>1971.902628392126</t>
  </si>
  <si>
    <t>3169.234845878326</t>
  </si>
  <si>
    <t>11171.108440090838</t>
  </si>
  <si>
    <t>1940.708090591769</t>
  </si>
  <si>
    <t>3203.7002397415404</t>
  </si>
  <si>
    <t>11115.847260071861</t>
  </si>
  <si>
    <t>2057.2072030102872</t>
  </si>
  <si>
    <t>3122.4008492568637</t>
  </si>
  <si>
    <t>11339.956638384507</t>
  </si>
  <si>
    <t>1954.7984867653063</t>
  </si>
  <si>
    <t>colorado</t>
  </si>
  <si>
    <t>xcel</t>
  </si>
  <si>
    <t>336.17511142801726</t>
  </si>
  <si>
    <t>11219.886468004921</t>
  </si>
  <si>
    <t>245.95661208720816</t>
  </si>
  <si>
    <t>342.4302049712641</t>
  </si>
  <si>
    <t>11187.464543038779</t>
  </si>
  <si>
    <t>242.38716593703845</t>
  </si>
  <si>
    <t>300.5854780470274</t>
  </si>
  <si>
    <t>11223.463688684564</t>
  </si>
  <si>
    <t>211.42817527409122</t>
  </si>
  <si>
    <t>293.09843043526274</t>
  </si>
  <si>
    <t>11230.706215099413</t>
  </si>
  <si>
    <t>198.43768171693372</t>
  </si>
  <si>
    <t>432.19237845320333</t>
  </si>
  <si>
    <t>11210.858153456424</t>
  </si>
  <si>
    <t>342.15309104098196</t>
  </si>
  <si>
    <t>356.4586948723302</t>
  </si>
  <si>
    <t>11724.610504949535</t>
  </si>
  <si>
    <t>264.09929970089365</t>
  </si>
  <si>
    <t>338.0986300025732</t>
  </si>
  <si>
    <t>11219.545505873377</t>
  </si>
  <si>
    <t>242.2533997145006</t>
  </si>
  <si>
    <t>318.83446055134937</t>
  </si>
  <si>
    <t>219.73538701056938</t>
  </si>
  <si>
    <t>332.2652364705389</t>
  </si>
  <si>
    <t>11212.99962398917</t>
  </si>
  <si>
    <t>242.1507063139336</t>
  </si>
  <si>
    <t>325.20976598020303</t>
  </si>
  <si>
    <t>11279.42882735561</t>
  </si>
  <si>
    <t>229.48002903554044</t>
  </si>
  <si>
    <t>325.7488668936306</t>
  </si>
  <si>
    <t>251.33262260063512</t>
  </si>
  <si>
    <t>279.6120605467149</t>
  </si>
  <si>
    <t>11448.787535571102</t>
  </si>
  <si>
    <t>193.44050203618923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</si>
</sst>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5" formatCode="_(* #,##0_);_(* \(#,##0\);_(* &quot;-&quot;??_);_(@_)"/>
    <numFmt numFmtId="166" formatCode="_(* #,##0.000_);_(* \(#,##0.000\);_(* &quot;-&quot;??_);_(@_)"/>
    <numFmt numFmtId="167" formatCode="_(* #,##0.000_);_(* \(#,##0.000\);_(* &quot;-&quot;???_);_(@_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3" fontId="0" fillId="0" borderId="0" xfId="1" applyFont="1"/>
    <xf numFmtId="165" fontId="0" fillId="0" borderId="0" xfId="1" applyNumberFormat="1" applyFont="1"/>
    <xf numFmtId="2" fontId="0" fillId="0" borderId="0" xfId="1" applyNumberFormat="1" applyFont="1"/>
    <xf numFmtId="166" fontId="0" fillId="0" borderId="0" xfId="1" applyNumberFormat="1" applyFont="1"/>
    <xf numFmtId="167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1C0C5-B4FA-E148-BA2A-4AFD79E0D499}">
  <dimension ref="A1:V37"/>
  <sheetViews>
    <sheetView tabSelected="1" workbookViewId="0">
      <selection activeCell="H33" sqref="H33:Q33"/>
    </sheetView>
  </sheetViews>
  <sheetFormatPr baseColWidth="10" defaultRowHeight="16" x14ac:dyDescent="0.2"/>
  <cols>
    <col min="8" max="8" width="24.6640625" style="1" bestFit="1" customWidth="1"/>
    <col min="9" max="9" width="25.1640625" hidden="1" customWidth="1"/>
    <col min="10" max="10" width="22.1640625" style="3" hidden="1" customWidth="1"/>
    <col min="11" max="11" width="29" bestFit="1" customWidth="1"/>
    <col min="12" max="13" width="0" hidden="1" customWidth="1"/>
    <col min="14" max="14" width="26.33203125" bestFit="1" customWidth="1"/>
    <col min="15" max="15" width="27" hidden="1" customWidth="1"/>
    <col min="16" max="16" width="23.83203125" hidden="1" customWidth="1"/>
    <col min="17" max="17" width="30.6640625" bestFit="1" customWidth="1"/>
    <col min="18" max="18" width="31.1640625" hidden="1" customWidth="1"/>
    <col min="19" max="19" width="28.1640625" hidden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s="3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22" x14ac:dyDescent="0.2">
      <c r="A2" t="s">
        <v>19</v>
      </c>
      <c r="B2" t="s">
        <v>20</v>
      </c>
      <c r="C2">
        <v>112157</v>
      </c>
      <c r="D2">
        <v>35.14</v>
      </c>
      <c r="E2">
        <v>-111.67</v>
      </c>
      <c r="F2">
        <v>2018</v>
      </c>
      <c r="G2" t="s">
        <v>21</v>
      </c>
      <c r="H2" s="4">
        <v>924.93943197462204</v>
      </c>
      <c r="I2" s="4" t="s">
        <v>22</v>
      </c>
      <c r="J2" s="4" t="s">
        <v>23</v>
      </c>
      <c r="K2" s="4">
        <v>1117.5373224524601</v>
      </c>
      <c r="L2" s="4" t="s">
        <v>24</v>
      </c>
      <c r="M2" s="4" t="s">
        <v>25</v>
      </c>
      <c r="N2" s="4">
        <v>924.93943197462204</v>
      </c>
      <c r="O2" s="4" t="s">
        <v>22</v>
      </c>
      <c r="P2" s="4" t="s">
        <v>23</v>
      </c>
      <c r="Q2" s="4">
        <v>1117.5373224524601</v>
      </c>
      <c r="R2" s="2" t="s">
        <v>24</v>
      </c>
      <c r="S2" s="2" t="s">
        <v>25</v>
      </c>
      <c r="U2" s="5">
        <f>H2-N2</f>
        <v>0</v>
      </c>
      <c r="V2" s="5">
        <f>K2-Q2</f>
        <v>0</v>
      </c>
    </row>
    <row r="3" spans="1:22" x14ac:dyDescent="0.2">
      <c r="A3" t="s">
        <v>19</v>
      </c>
      <c r="B3" t="s">
        <v>20</v>
      </c>
      <c r="C3">
        <v>112157</v>
      </c>
      <c r="D3">
        <v>35.14</v>
      </c>
      <c r="E3">
        <v>-111.67</v>
      </c>
      <c r="F3">
        <v>2018</v>
      </c>
      <c r="G3" t="s">
        <v>26</v>
      </c>
      <c r="H3" s="4">
        <v>932.16997671251102</v>
      </c>
      <c r="I3" s="4" t="s">
        <v>27</v>
      </c>
      <c r="J3" s="4" t="s">
        <v>28</v>
      </c>
      <c r="K3" s="4">
        <v>1258.5141303581399</v>
      </c>
      <c r="L3" s="4" t="s">
        <v>29</v>
      </c>
      <c r="M3" s="4" t="s">
        <v>30</v>
      </c>
      <c r="N3" s="4">
        <v>932.16997671251102</v>
      </c>
      <c r="O3" s="4" t="s">
        <v>27</v>
      </c>
      <c r="P3" s="4" t="s">
        <v>28</v>
      </c>
      <c r="Q3" s="4">
        <v>1258.5141303581399</v>
      </c>
      <c r="R3" s="2" t="s">
        <v>29</v>
      </c>
      <c r="S3" s="2" t="s">
        <v>30</v>
      </c>
      <c r="U3" s="5">
        <f t="shared" ref="U3:U37" si="0">H3-N3</f>
        <v>0</v>
      </c>
      <c r="V3" s="5">
        <f t="shared" ref="V3:V37" si="1">K3-Q3</f>
        <v>0</v>
      </c>
    </row>
    <row r="4" spans="1:22" x14ac:dyDescent="0.2">
      <c r="A4" t="s">
        <v>19</v>
      </c>
      <c r="B4" t="s">
        <v>20</v>
      </c>
      <c r="C4">
        <v>112157</v>
      </c>
      <c r="D4">
        <v>35.14</v>
      </c>
      <c r="E4">
        <v>-111.67</v>
      </c>
      <c r="F4">
        <v>2019</v>
      </c>
      <c r="G4" t="s">
        <v>21</v>
      </c>
      <c r="H4" s="4">
        <v>922.69192092221294</v>
      </c>
      <c r="I4" s="4" t="s">
        <v>22</v>
      </c>
      <c r="J4" s="4">
        <v>663.69106093497203</v>
      </c>
      <c r="K4" s="4">
        <v>1187.04899874906</v>
      </c>
      <c r="L4" s="4" t="s">
        <v>31</v>
      </c>
      <c r="M4" s="4" t="s">
        <v>32</v>
      </c>
      <c r="N4" s="4">
        <v>922.69192092221294</v>
      </c>
      <c r="O4" s="4" t="s">
        <v>22</v>
      </c>
      <c r="P4" s="4">
        <v>663.69106093497203</v>
      </c>
      <c r="Q4" s="4">
        <v>1187.04899874906</v>
      </c>
      <c r="R4" s="2" t="s">
        <v>31</v>
      </c>
      <c r="S4" s="2" t="s">
        <v>32</v>
      </c>
      <c r="U4" s="5">
        <f t="shared" si="0"/>
        <v>0</v>
      </c>
      <c r="V4" s="5">
        <f t="shared" si="1"/>
        <v>0</v>
      </c>
    </row>
    <row r="5" spans="1:22" x14ac:dyDescent="0.2">
      <c r="A5" t="s">
        <v>19</v>
      </c>
      <c r="B5" t="s">
        <v>20</v>
      </c>
      <c r="C5">
        <v>112157</v>
      </c>
      <c r="D5">
        <v>35.14</v>
      </c>
      <c r="E5">
        <v>-111.67</v>
      </c>
      <c r="F5">
        <v>2019</v>
      </c>
      <c r="G5" t="s">
        <v>26</v>
      </c>
      <c r="H5" s="4">
        <v>929.03520078013605</v>
      </c>
      <c r="I5" s="4" t="s">
        <v>33</v>
      </c>
      <c r="J5" s="4" t="s">
        <v>34</v>
      </c>
      <c r="K5" s="4">
        <v>1243.50386750659</v>
      </c>
      <c r="L5" s="4" t="s">
        <v>35</v>
      </c>
      <c r="M5" s="4" t="s">
        <v>36</v>
      </c>
      <c r="N5" s="4">
        <v>929.03520078013605</v>
      </c>
      <c r="O5" s="4" t="s">
        <v>33</v>
      </c>
      <c r="P5" s="4" t="s">
        <v>34</v>
      </c>
      <c r="Q5" s="4">
        <v>1243.50386750659</v>
      </c>
      <c r="R5" s="2" t="s">
        <v>35</v>
      </c>
      <c r="S5" s="2" t="s">
        <v>36</v>
      </c>
      <c r="U5" s="5">
        <f t="shared" si="0"/>
        <v>0</v>
      </c>
      <c r="V5" s="5">
        <f t="shared" si="1"/>
        <v>0</v>
      </c>
    </row>
    <row r="6" spans="1:22" x14ac:dyDescent="0.2">
      <c r="A6" t="s">
        <v>19</v>
      </c>
      <c r="B6" t="s">
        <v>20</v>
      </c>
      <c r="C6">
        <v>112157</v>
      </c>
      <c r="D6">
        <v>35.14</v>
      </c>
      <c r="E6">
        <v>-111.67</v>
      </c>
      <c r="F6">
        <v>2020</v>
      </c>
      <c r="G6" t="s">
        <v>21</v>
      </c>
      <c r="H6" s="4">
        <v>901.69780008942405</v>
      </c>
      <c r="I6" s="4" t="s">
        <v>22</v>
      </c>
      <c r="J6" s="4" t="s">
        <v>37</v>
      </c>
      <c r="K6" s="4">
        <v>1088.9915414053301</v>
      </c>
      <c r="L6" s="4" t="s">
        <v>38</v>
      </c>
      <c r="M6" s="4" t="s">
        <v>39</v>
      </c>
      <c r="N6" s="4">
        <v>901.69780008942405</v>
      </c>
      <c r="O6" s="4" t="s">
        <v>22</v>
      </c>
      <c r="P6" s="4" t="s">
        <v>37</v>
      </c>
      <c r="Q6" s="4">
        <v>1088.9915414053301</v>
      </c>
      <c r="R6" s="2" t="s">
        <v>38</v>
      </c>
      <c r="S6" s="2" t="s">
        <v>39</v>
      </c>
      <c r="U6" s="5">
        <f t="shared" si="0"/>
        <v>0</v>
      </c>
      <c r="V6" s="5">
        <f t="shared" si="1"/>
        <v>0</v>
      </c>
    </row>
    <row r="7" spans="1:22" x14ac:dyDescent="0.2">
      <c r="A7" t="s">
        <v>19</v>
      </c>
      <c r="B7" t="s">
        <v>20</v>
      </c>
      <c r="C7">
        <v>112157</v>
      </c>
      <c r="D7">
        <v>35.14</v>
      </c>
      <c r="E7">
        <v>-111.67</v>
      </c>
      <c r="F7">
        <v>2020</v>
      </c>
      <c r="G7" t="s">
        <v>26</v>
      </c>
      <c r="H7" s="4">
        <v>965.44134570510596</v>
      </c>
      <c r="I7" s="4" t="s">
        <v>40</v>
      </c>
      <c r="J7" s="4" t="s">
        <v>41</v>
      </c>
      <c r="K7" s="4">
        <v>1258.8251278339201</v>
      </c>
      <c r="L7" s="4" t="s">
        <v>42</v>
      </c>
      <c r="M7" s="4" t="s">
        <v>43</v>
      </c>
      <c r="N7" s="4">
        <v>965.44134570510596</v>
      </c>
      <c r="O7" s="4" t="s">
        <v>40</v>
      </c>
      <c r="P7" s="4" t="s">
        <v>41</v>
      </c>
      <c r="Q7" s="4">
        <v>1258.8251278339201</v>
      </c>
      <c r="R7" s="2" t="s">
        <v>42</v>
      </c>
      <c r="S7" s="2" t="s">
        <v>43</v>
      </c>
      <c r="U7" s="5">
        <f t="shared" si="0"/>
        <v>0</v>
      </c>
      <c r="V7" s="5">
        <f t="shared" si="1"/>
        <v>0</v>
      </c>
    </row>
    <row r="8" spans="1:22" x14ac:dyDescent="0.2">
      <c r="A8" t="s">
        <v>19</v>
      </c>
      <c r="B8" t="s">
        <v>20</v>
      </c>
      <c r="C8">
        <v>112157</v>
      </c>
      <c r="D8">
        <v>35.14</v>
      </c>
      <c r="E8">
        <v>-111.67</v>
      </c>
      <c r="F8">
        <v>2021</v>
      </c>
      <c r="G8" t="s">
        <v>21</v>
      </c>
      <c r="H8" s="4">
        <v>907.62167450345305</v>
      </c>
      <c r="I8" s="4" t="s">
        <v>22</v>
      </c>
      <c r="J8" s="4" t="s">
        <v>44</v>
      </c>
      <c r="K8" s="4">
        <v>1197.5220873968301</v>
      </c>
      <c r="L8" s="4" t="s">
        <v>45</v>
      </c>
      <c r="M8" s="4" t="s">
        <v>46</v>
      </c>
      <c r="N8" s="4">
        <v>907.62167450345305</v>
      </c>
      <c r="O8" s="4" t="s">
        <v>22</v>
      </c>
      <c r="P8" s="4" t="s">
        <v>44</v>
      </c>
      <c r="Q8" s="4">
        <v>1197.5220873968301</v>
      </c>
      <c r="R8" s="2" t="s">
        <v>45</v>
      </c>
      <c r="S8" s="2" t="s">
        <v>46</v>
      </c>
      <c r="U8" s="5">
        <f t="shared" si="0"/>
        <v>0</v>
      </c>
      <c r="V8" s="5">
        <f t="shared" si="1"/>
        <v>0</v>
      </c>
    </row>
    <row r="9" spans="1:22" x14ac:dyDescent="0.2">
      <c r="A9" t="s">
        <v>19</v>
      </c>
      <c r="B9" t="s">
        <v>20</v>
      </c>
      <c r="C9">
        <v>112157</v>
      </c>
      <c r="D9">
        <v>35.14</v>
      </c>
      <c r="E9">
        <v>-111.67</v>
      </c>
      <c r="F9">
        <v>2021</v>
      </c>
      <c r="G9" t="s">
        <v>26</v>
      </c>
      <c r="H9" s="4">
        <v>940.08774401874098</v>
      </c>
      <c r="I9" s="4" t="s">
        <v>47</v>
      </c>
      <c r="J9" s="4" t="s">
        <v>48</v>
      </c>
      <c r="K9" s="4">
        <v>1234.7893381095701</v>
      </c>
      <c r="L9" s="4" t="s">
        <v>49</v>
      </c>
      <c r="M9" s="4" t="s">
        <v>50</v>
      </c>
      <c r="N9" s="4">
        <v>940.08774401874098</v>
      </c>
      <c r="O9" s="4" t="s">
        <v>47</v>
      </c>
      <c r="P9" s="4" t="s">
        <v>48</v>
      </c>
      <c r="Q9" s="4">
        <v>1234.7893381095701</v>
      </c>
      <c r="R9" s="2" t="s">
        <v>49</v>
      </c>
      <c r="S9" s="2" t="s">
        <v>50</v>
      </c>
      <c r="U9" s="5">
        <f t="shared" si="0"/>
        <v>0</v>
      </c>
      <c r="V9" s="5">
        <f t="shared" si="1"/>
        <v>0</v>
      </c>
    </row>
    <row r="10" spans="1:22" x14ac:dyDescent="0.2">
      <c r="A10" t="s">
        <v>19</v>
      </c>
      <c r="B10" t="s">
        <v>20</v>
      </c>
      <c r="C10">
        <v>112157</v>
      </c>
      <c r="D10">
        <v>35.14</v>
      </c>
      <c r="E10">
        <v>-111.67</v>
      </c>
      <c r="F10">
        <v>2022</v>
      </c>
      <c r="G10" t="s">
        <v>21</v>
      </c>
      <c r="H10" s="4">
        <v>910.24800584960599</v>
      </c>
      <c r="I10" s="4" t="s">
        <v>22</v>
      </c>
      <c r="J10" s="4" t="s">
        <v>51</v>
      </c>
      <c r="K10" s="4">
        <v>1162.4023996342301</v>
      </c>
      <c r="L10" s="4">
        <v>11102.869902067399</v>
      </c>
      <c r="M10" s="4" t="s">
        <v>52</v>
      </c>
      <c r="N10" s="4">
        <v>910.24800584960599</v>
      </c>
      <c r="O10" s="4" t="s">
        <v>22</v>
      </c>
      <c r="P10" s="4" t="s">
        <v>51</v>
      </c>
      <c r="Q10" s="4">
        <v>1162.4023996342301</v>
      </c>
      <c r="R10" s="2">
        <v>11102.869902067399</v>
      </c>
      <c r="S10" s="2" t="s">
        <v>52</v>
      </c>
      <c r="U10" s="5">
        <f t="shared" si="0"/>
        <v>0</v>
      </c>
      <c r="V10" s="5">
        <f t="shared" si="1"/>
        <v>0</v>
      </c>
    </row>
    <row r="11" spans="1:22" x14ac:dyDescent="0.2">
      <c r="A11" t="s">
        <v>19</v>
      </c>
      <c r="B11" t="s">
        <v>20</v>
      </c>
      <c r="C11">
        <v>112157</v>
      </c>
      <c r="D11">
        <v>35.14</v>
      </c>
      <c r="E11">
        <v>-111.67</v>
      </c>
      <c r="F11">
        <v>2022</v>
      </c>
      <c r="G11" t="s">
        <v>26</v>
      </c>
      <c r="H11" s="4">
        <v>933.56028020871099</v>
      </c>
      <c r="I11" s="4" t="s">
        <v>53</v>
      </c>
      <c r="J11" s="4" t="s">
        <v>54</v>
      </c>
      <c r="K11" s="4">
        <v>1264.57519487287</v>
      </c>
      <c r="L11" s="4" t="s">
        <v>55</v>
      </c>
      <c r="M11" s="4" t="s">
        <v>56</v>
      </c>
      <c r="N11" s="4">
        <v>933.56028020871099</v>
      </c>
      <c r="O11" s="4" t="s">
        <v>53</v>
      </c>
      <c r="P11" s="4" t="s">
        <v>54</v>
      </c>
      <c r="Q11" s="4">
        <v>1264.57519487287</v>
      </c>
      <c r="R11" s="2" t="s">
        <v>55</v>
      </c>
      <c r="S11" s="2" t="s">
        <v>56</v>
      </c>
      <c r="U11" s="5">
        <f t="shared" si="0"/>
        <v>0</v>
      </c>
      <c r="V11" s="5">
        <f t="shared" si="1"/>
        <v>0</v>
      </c>
    </row>
    <row r="12" spans="1:22" x14ac:dyDescent="0.2">
      <c r="A12" t="s">
        <v>19</v>
      </c>
      <c r="B12" t="s">
        <v>20</v>
      </c>
      <c r="C12">
        <v>112157</v>
      </c>
      <c r="D12">
        <v>35.14</v>
      </c>
      <c r="E12">
        <v>-111.67</v>
      </c>
      <c r="F12">
        <v>2023</v>
      </c>
      <c r="G12" t="s">
        <v>21</v>
      </c>
      <c r="H12" s="4">
        <v>918.90437846860902</v>
      </c>
      <c r="I12" s="4" t="s">
        <v>22</v>
      </c>
      <c r="J12" s="4" t="s">
        <v>57</v>
      </c>
      <c r="K12" s="4">
        <v>1129.56316939213</v>
      </c>
      <c r="L12" s="4" t="s">
        <v>58</v>
      </c>
      <c r="M12" s="4" t="s">
        <v>59</v>
      </c>
      <c r="N12" s="4">
        <v>918.90437846860902</v>
      </c>
      <c r="O12" s="4" t="s">
        <v>22</v>
      </c>
      <c r="P12" s="4" t="s">
        <v>57</v>
      </c>
      <c r="Q12" s="4">
        <v>1129.56316939213</v>
      </c>
      <c r="R12" s="2" t="s">
        <v>58</v>
      </c>
      <c r="S12" s="2" t="s">
        <v>59</v>
      </c>
      <c r="U12" s="5">
        <f t="shared" si="0"/>
        <v>0</v>
      </c>
      <c r="V12" s="5">
        <f t="shared" si="1"/>
        <v>0</v>
      </c>
    </row>
    <row r="13" spans="1:22" x14ac:dyDescent="0.2">
      <c r="A13" t="s">
        <v>19</v>
      </c>
      <c r="B13" t="s">
        <v>20</v>
      </c>
      <c r="C13">
        <v>112157</v>
      </c>
      <c r="D13">
        <v>35.14</v>
      </c>
      <c r="E13">
        <v>-111.67</v>
      </c>
      <c r="F13">
        <v>2023</v>
      </c>
      <c r="G13" t="s">
        <v>26</v>
      </c>
      <c r="H13" s="4">
        <v>940.06289819758797</v>
      </c>
      <c r="I13" s="4" t="s">
        <v>60</v>
      </c>
      <c r="J13" s="4" t="s">
        <v>61</v>
      </c>
      <c r="K13" s="4">
        <v>1240.00185248045</v>
      </c>
      <c r="L13" s="4" t="s">
        <v>62</v>
      </c>
      <c r="M13" s="4" t="s">
        <v>63</v>
      </c>
      <c r="N13" s="4">
        <v>940.06289819758797</v>
      </c>
      <c r="O13" s="4" t="s">
        <v>60</v>
      </c>
      <c r="P13" s="4" t="s">
        <v>61</v>
      </c>
      <c r="Q13" s="4">
        <v>1240.00185248045</v>
      </c>
      <c r="R13" s="2" t="s">
        <v>62</v>
      </c>
      <c r="S13" s="2" t="s">
        <v>63</v>
      </c>
      <c r="U13" s="5">
        <f t="shared" si="0"/>
        <v>0</v>
      </c>
      <c r="V13" s="5">
        <f t="shared" si="1"/>
        <v>0</v>
      </c>
    </row>
    <row r="14" spans="1:22" x14ac:dyDescent="0.2">
      <c r="A14" t="s">
        <v>64</v>
      </c>
      <c r="B14" t="s">
        <v>65</v>
      </c>
      <c r="C14">
        <v>112157</v>
      </c>
      <c r="D14">
        <v>35.14</v>
      </c>
      <c r="E14">
        <v>-111.67</v>
      </c>
      <c r="F14">
        <v>2018</v>
      </c>
      <c r="G14" t="s">
        <v>21</v>
      </c>
      <c r="H14" s="4">
        <v>2294.1711596825198</v>
      </c>
      <c r="I14" s="4" t="s">
        <v>22</v>
      </c>
      <c r="J14" s="4" t="s">
        <v>66</v>
      </c>
      <c r="K14" s="4">
        <v>3471.0867799989401</v>
      </c>
      <c r="L14" s="4" t="s">
        <v>67</v>
      </c>
      <c r="M14" s="4" t="s">
        <v>68</v>
      </c>
      <c r="N14" s="4">
        <v>2294.1711596825198</v>
      </c>
      <c r="O14" s="4" t="s">
        <v>22</v>
      </c>
      <c r="P14" s="4" t="s">
        <v>66</v>
      </c>
      <c r="Q14" s="4">
        <v>3471.0867799989401</v>
      </c>
      <c r="R14" s="2" t="s">
        <v>67</v>
      </c>
      <c r="S14" s="2" t="s">
        <v>68</v>
      </c>
      <c r="U14" s="5">
        <f t="shared" si="0"/>
        <v>0</v>
      </c>
      <c r="V14" s="5">
        <f t="shared" si="1"/>
        <v>0</v>
      </c>
    </row>
    <row r="15" spans="1:22" x14ac:dyDescent="0.2">
      <c r="A15" t="s">
        <v>64</v>
      </c>
      <c r="B15" t="s">
        <v>65</v>
      </c>
      <c r="C15">
        <v>112157</v>
      </c>
      <c r="D15">
        <v>35.14</v>
      </c>
      <c r="E15">
        <v>-111.67</v>
      </c>
      <c r="F15">
        <v>2018</v>
      </c>
      <c r="G15" t="s">
        <v>26</v>
      </c>
      <c r="H15" s="4">
        <v>2318.07891028417</v>
      </c>
      <c r="I15" s="4" t="s">
        <v>27</v>
      </c>
      <c r="J15" s="4" t="s">
        <v>69</v>
      </c>
      <c r="K15" s="4">
        <v>3548.8789635654198</v>
      </c>
      <c r="L15" s="4" t="s">
        <v>70</v>
      </c>
      <c r="M15" s="4" t="s">
        <v>71</v>
      </c>
      <c r="N15" s="4">
        <v>2318.07891028417</v>
      </c>
      <c r="O15" s="4" t="s">
        <v>27</v>
      </c>
      <c r="P15" s="4" t="s">
        <v>69</v>
      </c>
      <c r="Q15" s="4">
        <v>3548.8789635654198</v>
      </c>
      <c r="R15" s="2" t="s">
        <v>70</v>
      </c>
      <c r="S15" s="2" t="s">
        <v>71</v>
      </c>
      <c r="U15" s="5">
        <f t="shared" si="0"/>
        <v>0</v>
      </c>
      <c r="V15" s="5">
        <f t="shared" si="1"/>
        <v>0</v>
      </c>
    </row>
    <row r="16" spans="1:22" x14ac:dyDescent="0.2">
      <c r="A16" t="s">
        <v>64</v>
      </c>
      <c r="B16" t="s">
        <v>65</v>
      </c>
      <c r="C16">
        <v>112157</v>
      </c>
      <c r="D16">
        <v>35.14</v>
      </c>
      <c r="E16">
        <v>-111.67</v>
      </c>
      <c r="F16">
        <v>2019</v>
      </c>
      <c r="G16" t="s">
        <v>21</v>
      </c>
      <c r="H16" s="4">
        <v>2244.8161752126698</v>
      </c>
      <c r="I16" s="4" t="s">
        <v>22</v>
      </c>
      <c r="J16" s="4" t="s">
        <v>72</v>
      </c>
      <c r="K16" s="4">
        <v>3433.0588268720599</v>
      </c>
      <c r="L16" s="4" t="s">
        <v>73</v>
      </c>
      <c r="M16" s="4" t="s">
        <v>74</v>
      </c>
      <c r="N16" s="4">
        <v>2244.8161752126698</v>
      </c>
      <c r="O16" s="4" t="s">
        <v>22</v>
      </c>
      <c r="P16" s="4" t="s">
        <v>72</v>
      </c>
      <c r="Q16" s="4">
        <v>3433.0588268720599</v>
      </c>
      <c r="R16" s="2" t="s">
        <v>73</v>
      </c>
      <c r="S16" s="2" t="s">
        <v>74</v>
      </c>
      <c r="U16" s="5">
        <f t="shared" si="0"/>
        <v>0</v>
      </c>
      <c r="V16" s="5">
        <f t="shared" si="1"/>
        <v>0</v>
      </c>
    </row>
    <row r="17" spans="1:22" x14ac:dyDescent="0.2">
      <c r="A17" t="s">
        <v>64</v>
      </c>
      <c r="B17" t="s">
        <v>65</v>
      </c>
      <c r="C17">
        <v>112157</v>
      </c>
      <c r="D17">
        <v>35.14</v>
      </c>
      <c r="E17">
        <v>-111.67</v>
      </c>
      <c r="F17">
        <v>2019</v>
      </c>
      <c r="G17" t="s">
        <v>26</v>
      </c>
      <c r="H17" s="4">
        <v>2304.0398210153198</v>
      </c>
      <c r="I17" s="4" t="s">
        <v>33</v>
      </c>
      <c r="J17" s="4" t="s">
        <v>75</v>
      </c>
      <c r="K17" s="4">
        <v>3532.2211686681599</v>
      </c>
      <c r="L17" s="4" t="s">
        <v>76</v>
      </c>
      <c r="M17" s="4" t="s">
        <v>77</v>
      </c>
      <c r="N17" s="4">
        <v>2304.0398210153198</v>
      </c>
      <c r="O17" s="4" t="s">
        <v>33</v>
      </c>
      <c r="P17" s="4" t="s">
        <v>75</v>
      </c>
      <c r="Q17" s="4">
        <v>3532.2211686681599</v>
      </c>
      <c r="R17" s="2" t="s">
        <v>76</v>
      </c>
      <c r="S17" s="2" t="s">
        <v>77</v>
      </c>
      <c r="U17" s="5">
        <f t="shared" si="0"/>
        <v>0</v>
      </c>
      <c r="V17" s="5">
        <f t="shared" si="1"/>
        <v>0</v>
      </c>
    </row>
    <row r="18" spans="1:22" x14ac:dyDescent="0.2">
      <c r="A18" t="s">
        <v>64</v>
      </c>
      <c r="B18" t="s">
        <v>65</v>
      </c>
      <c r="C18">
        <v>112157</v>
      </c>
      <c r="D18">
        <v>35.14</v>
      </c>
      <c r="E18">
        <v>-111.67</v>
      </c>
      <c r="F18">
        <v>2020</v>
      </c>
      <c r="G18" t="s">
        <v>21</v>
      </c>
      <c r="H18" s="4">
        <v>2387.06681774148</v>
      </c>
      <c r="I18" s="4" t="s">
        <v>22</v>
      </c>
      <c r="J18" s="4" t="s">
        <v>78</v>
      </c>
      <c r="K18" s="4">
        <v>3563.8128184787402</v>
      </c>
      <c r="L18" s="4" t="s">
        <v>79</v>
      </c>
      <c r="M18" s="4" t="s">
        <v>80</v>
      </c>
      <c r="N18" s="4">
        <v>2387.06681774148</v>
      </c>
      <c r="O18" s="4" t="s">
        <v>22</v>
      </c>
      <c r="P18" s="4" t="s">
        <v>78</v>
      </c>
      <c r="Q18" s="4">
        <v>3563.8128184787402</v>
      </c>
      <c r="R18" s="2" t="s">
        <v>79</v>
      </c>
      <c r="S18" s="2" t="s">
        <v>80</v>
      </c>
      <c r="U18" s="5">
        <f t="shared" si="0"/>
        <v>0</v>
      </c>
      <c r="V18" s="5">
        <f t="shared" si="1"/>
        <v>0</v>
      </c>
    </row>
    <row r="19" spans="1:22" x14ac:dyDescent="0.2">
      <c r="A19" t="s">
        <v>64</v>
      </c>
      <c r="B19" t="s">
        <v>65</v>
      </c>
      <c r="C19">
        <v>112157</v>
      </c>
      <c r="D19">
        <v>35.14</v>
      </c>
      <c r="E19">
        <v>-111.67</v>
      </c>
      <c r="F19">
        <v>2020</v>
      </c>
      <c r="G19" t="s">
        <v>26</v>
      </c>
      <c r="H19" s="4">
        <v>2494.07284955574</v>
      </c>
      <c r="I19" s="4" t="s">
        <v>40</v>
      </c>
      <c r="J19" s="4" t="s">
        <v>81</v>
      </c>
      <c r="K19" s="4">
        <v>3700.4862743672702</v>
      </c>
      <c r="L19" s="4" t="s">
        <v>82</v>
      </c>
      <c r="M19" s="4" t="s">
        <v>83</v>
      </c>
      <c r="N19" s="4">
        <v>2494.07284955574</v>
      </c>
      <c r="O19" s="4" t="s">
        <v>40</v>
      </c>
      <c r="P19" s="4" t="s">
        <v>81</v>
      </c>
      <c r="Q19" s="4">
        <v>3700.4862743672702</v>
      </c>
      <c r="R19" s="2" t="s">
        <v>82</v>
      </c>
      <c r="S19" s="2" t="s">
        <v>83</v>
      </c>
      <c r="U19" s="5">
        <f t="shared" si="0"/>
        <v>0</v>
      </c>
      <c r="V19" s="5">
        <f t="shared" si="1"/>
        <v>0</v>
      </c>
    </row>
    <row r="20" spans="1:22" x14ac:dyDescent="0.2">
      <c r="A20" t="s">
        <v>64</v>
      </c>
      <c r="B20" t="s">
        <v>65</v>
      </c>
      <c r="C20">
        <v>112157</v>
      </c>
      <c r="D20">
        <v>35.14</v>
      </c>
      <c r="E20">
        <v>-111.67</v>
      </c>
      <c r="F20">
        <v>2021</v>
      </c>
      <c r="G20" t="s">
        <v>21</v>
      </c>
      <c r="H20" s="4">
        <v>2309.5511844074099</v>
      </c>
      <c r="I20" s="4" t="s">
        <v>22</v>
      </c>
      <c r="J20" s="4" t="s">
        <v>84</v>
      </c>
      <c r="K20" s="4">
        <v>3528.68524683847</v>
      </c>
      <c r="L20" s="4" t="s">
        <v>85</v>
      </c>
      <c r="M20" s="4" t="s">
        <v>86</v>
      </c>
      <c r="N20" s="4">
        <v>2309.5511844074099</v>
      </c>
      <c r="O20" s="4" t="s">
        <v>22</v>
      </c>
      <c r="P20" s="4" t="s">
        <v>84</v>
      </c>
      <c r="Q20" s="4">
        <v>3528.68524683847</v>
      </c>
      <c r="R20" s="2" t="s">
        <v>85</v>
      </c>
      <c r="S20" s="2" t="s">
        <v>86</v>
      </c>
      <c r="U20" s="5">
        <f t="shared" si="0"/>
        <v>0</v>
      </c>
      <c r="V20" s="5">
        <f t="shared" si="1"/>
        <v>0</v>
      </c>
    </row>
    <row r="21" spans="1:22" x14ac:dyDescent="0.2">
      <c r="A21" t="s">
        <v>64</v>
      </c>
      <c r="B21" t="s">
        <v>65</v>
      </c>
      <c r="C21">
        <v>112157</v>
      </c>
      <c r="D21">
        <v>35.14</v>
      </c>
      <c r="E21">
        <v>-111.67</v>
      </c>
      <c r="F21">
        <v>2021</v>
      </c>
      <c r="G21" t="s">
        <v>26</v>
      </c>
      <c r="H21" s="4">
        <v>2332.4597336203401</v>
      </c>
      <c r="I21" s="4" t="s">
        <v>47</v>
      </c>
      <c r="J21" s="4" t="s">
        <v>87</v>
      </c>
      <c r="K21" s="4">
        <v>3549.0308836402301</v>
      </c>
      <c r="L21" s="4" t="s">
        <v>88</v>
      </c>
      <c r="M21" s="4" t="s">
        <v>89</v>
      </c>
      <c r="N21" s="4">
        <v>2332.4597336203401</v>
      </c>
      <c r="O21" s="4" t="s">
        <v>47</v>
      </c>
      <c r="P21" s="4" t="s">
        <v>87</v>
      </c>
      <c r="Q21" s="4">
        <v>3549.0308836402301</v>
      </c>
      <c r="R21" s="2" t="s">
        <v>88</v>
      </c>
      <c r="S21" s="2" t="s">
        <v>89</v>
      </c>
      <c r="U21" s="5">
        <f t="shared" si="0"/>
        <v>0</v>
      </c>
      <c r="V21" s="5">
        <f t="shared" si="1"/>
        <v>0</v>
      </c>
    </row>
    <row r="22" spans="1:22" x14ac:dyDescent="0.2">
      <c r="A22" t="s">
        <v>64</v>
      </c>
      <c r="B22" t="s">
        <v>65</v>
      </c>
      <c r="C22">
        <v>112157</v>
      </c>
      <c r="D22">
        <v>35.14</v>
      </c>
      <c r="E22">
        <v>-111.67</v>
      </c>
      <c r="F22">
        <v>2022</v>
      </c>
      <c r="G22" t="s">
        <v>21</v>
      </c>
      <c r="H22" s="4">
        <v>2300.1819558060602</v>
      </c>
      <c r="I22" s="4" t="s">
        <v>22</v>
      </c>
      <c r="J22" s="4" t="s">
        <v>90</v>
      </c>
      <c r="K22" s="4">
        <v>3508.3930336308099</v>
      </c>
      <c r="L22" s="4" t="s">
        <v>91</v>
      </c>
      <c r="M22" s="4" t="s">
        <v>92</v>
      </c>
      <c r="N22" s="4">
        <v>2300.1819558060602</v>
      </c>
      <c r="O22" s="4" t="s">
        <v>22</v>
      </c>
      <c r="P22" s="4" t="s">
        <v>90</v>
      </c>
      <c r="Q22" s="4">
        <v>3508.3930336308099</v>
      </c>
      <c r="R22" s="2" t="s">
        <v>91</v>
      </c>
      <c r="S22" s="2" t="s">
        <v>92</v>
      </c>
      <c r="U22" s="5">
        <f t="shared" si="0"/>
        <v>0</v>
      </c>
      <c r="V22" s="5">
        <f t="shared" si="1"/>
        <v>0</v>
      </c>
    </row>
    <row r="23" spans="1:22" x14ac:dyDescent="0.2">
      <c r="A23" t="s">
        <v>64</v>
      </c>
      <c r="B23" t="s">
        <v>65</v>
      </c>
      <c r="C23">
        <v>112157</v>
      </c>
      <c r="D23">
        <v>35.14</v>
      </c>
      <c r="E23">
        <v>-111.67</v>
      </c>
      <c r="F23">
        <v>2022</v>
      </c>
      <c r="G23" t="s">
        <v>26</v>
      </c>
      <c r="H23" s="4">
        <v>2311.0608161446098</v>
      </c>
      <c r="I23" s="4" t="s">
        <v>53</v>
      </c>
      <c r="J23" s="4" t="s">
        <v>93</v>
      </c>
      <c r="K23" s="4">
        <v>3539.5875714311701</v>
      </c>
      <c r="L23" s="4" t="s">
        <v>94</v>
      </c>
      <c r="M23" s="4" t="s">
        <v>95</v>
      </c>
      <c r="N23" s="4">
        <v>2311.0608161446098</v>
      </c>
      <c r="O23" s="4" t="s">
        <v>53</v>
      </c>
      <c r="P23" s="4" t="s">
        <v>93</v>
      </c>
      <c r="Q23" s="4">
        <v>3539.5875714311701</v>
      </c>
      <c r="R23" s="2" t="s">
        <v>94</v>
      </c>
      <c r="S23" s="2" t="s">
        <v>95</v>
      </c>
      <c r="U23" s="5">
        <f t="shared" si="0"/>
        <v>0</v>
      </c>
      <c r="V23" s="5">
        <f t="shared" si="1"/>
        <v>0</v>
      </c>
    </row>
    <row r="24" spans="1:22" x14ac:dyDescent="0.2">
      <c r="A24" t="s">
        <v>64</v>
      </c>
      <c r="B24" t="s">
        <v>65</v>
      </c>
      <c r="C24">
        <v>112157</v>
      </c>
      <c r="D24">
        <v>35.14</v>
      </c>
      <c r="E24">
        <v>-111.67</v>
      </c>
      <c r="F24">
        <v>2023</v>
      </c>
      <c r="G24" t="s">
        <v>21</v>
      </c>
      <c r="H24" s="4">
        <v>2261.1804020954801</v>
      </c>
      <c r="I24" s="4" t="s">
        <v>22</v>
      </c>
      <c r="J24" s="4" t="s">
        <v>96</v>
      </c>
      <c r="K24" s="4">
        <v>3407.67343882673</v>
      </c>
      <c r="L24" s="4" t="s">
        <v>97</v>
      </c>
      <c r="M24" s="4" t="s">
        <v>98</v>
      </c>
      <c r="N24" s="4">
        <v>2261.1804020954801</v>
      </c>
      <c r="O24" s="4" t="s">
        <v>22</v>
      </c>
      <c r="P24" s="4" t="s">
        <v>96</v>
      </c>
      <c r="Q24" s="4">
        <v>3407.67343882673</v>
      </c>
      <c r="R24" s="2" t="s">
        <v>97</v>
      </c>
      <c r="S24" s="2" t="s">
        <v>98</v>
      </c>
      <c r="U24" s="5">
        <f t="shared" si="0"/>
        <v>0</v>
      </c>
      <c r="V24" s="5">
        <f t="shared" si="1"/>
        <v>0</v>
      </c>
    </row>
    <row r="25" spans="1:22" x14ac:dyDescent="0.2">
      <c r="A25" t="s">
        <v>64</v>
      </c>
      <c r="B25" t="s">
        <v>65</v>
      </c>
      <c r="C25">
        <v>112157</v>
      </c>
      <c r="D25">
        <v>35.14</v>
      </c>
      <c r="E25">
        <v>-111.67</v>
      </c>
      <c r="F25">
        <v>2023</v>
      </c>
      <c r="G25" t="s">
        <v>26</v>
      </c>
      <c r="H25" s="4">
        <v>2342.4797925801699</v>
      </c>
      <c r="I25" s="4" t="s">
        <v>60</v>
      </c>
      <c r="J25" s="4" t="s">
        <v>99</v>
      </c>
      <c r="K25" s="4">
        <v>3510.0821550717201</v>
      </c>
      <c r="L25" s="4" t="s">
        <v>100</v>
      </c>
      <c r="M25" s="4" t="s">
        <v>101</v>
      </c>
      <c r="N25" s="4">
        <v>2342.4797925801699</v>
      </c>
      <c r="O25" s="4" t="s">
        <v>60</v>
      </c>
      <c r="P25" s="4" t="s">
        <v>99</v>
      </c>
      <c r="Q25" s="4">
        <v>3510.0821550717201</v>
      </c>
      <c r="R25" s="2" t="s">
        <v>100</v>
      </c>
      <c r="S25" s="2" t="s">
        <v>101</v>
      </c>
      <c r="U25" s="5">
        <f t="shared" si="0"/>
        <v>0</v>
      </c>
      <c r="V25" s="5">
        <f t="shared" si="1"/>
        <v>0</v>
      </c>
    </row>
    <row r="26" spans="1:22" x14ac:dyDescent="0.2">
      <c r="A26" t="s">
        <v>102</v>
      </c>
      <c r="B26" t="s">
        <v>103</v>
      </c>
      <c r="C26">
        <v>112157</v>
      </c>
      <c r="D26">
        <v>35.14</v>
      </c>
      <c r="E26">
        <v>-111.67</v>
      </c>
      <c r="F26">
        <v>2018</v>
      </c>
      <c r="G26" t="s">
        <v>21</v>
      </c>
      <c r="H26" s="4">
        <v>1675.8949221472501</v>
      </c>
      <c r="I26" s="4" t="s">
        <v>22</v>
      </c>
      <c r="J26" s="4" t="s">
        <v>104</v>
      </c>
      <c r="K26" s="4">
        <v>1766.1134214880601</v>
      </c>
      <c r="L26" s="4" t="s">
        <v>105</v>
      </c>
      <c r="M26" s="4" t="s">
        <v>106</v>
      </c>
      <c r="N26" s="4">
        <v>1675.8949221472501</v>
      </c>
      <c r="O26" s="4" t="s">
        <v>22</v>
      </c>
      <c r="P26" s="4" t="s">
        <v>104</v>
      </c>
      <c r="Q26" s="4">
        <v>1766.1134214880601</v>
      </c>
      <c r="R26" s="2" t="s">
        <v>105</v>
      </c>
      <c r="S26" s="2" t="s">
        <v>106</v>
      </c>
      <c r="U26" s="5">
        <f t="shared" si="0"/>
        <v>0</v>
      </c>
      <c r="V26" s="5">
        <f t="shared" si="1"/>
        <v>0</v>
      </c>
    </row>
    <row r="27" spans="1:22" x14ac:dyDescent="0.2">
      <c r="A27" t="s">
        <v>102</v>
      </c>
      <c r="B27" t="s">
        <v>103</v>
      </c>
      <c r="C27">
        <v>112157</v>
      </c>
      <c r="D27">
        <v>35.14</v>
      </c>
      <c r="E27">
        <v>-111.67</v>
      </c>
      <c r="F27">
        <v>2018</v>
      </c>
      <c r="G27" t="s">
        <v>26</v>
      </c>
      <c r="H27" s="4">
        <v>1669.6398286040001</v>
      </c>
      <c r="I27" s="4" t="s">
        <v>27</v>
      </c>
      <c r="J27" s="4" t="s">
        <v>107</v>
      </c>
      <c r="K27" s="4">
        <v>1769.6828676382299</v>
      </c>
      <c r="L27" s="4" t="s">
        <v>108</v>
      </c>
      <c r="M27" s="4" t="s">
        <v>109</v>
      </c>
      <c r="N27" s="4">
        <v>1669.6398286040001</v>
      </c>
      <c r="O27" s="4" t="s">
        <v>27</v>
      </c>
      <c r="P27" s="4" t="s">
        <v>107</v>
      </c>
      <c r="Q27" s="4">
        <v>1769.6828676382299</v>
      </c>
      <c r="R27" s="2" t="s">
        <v>108</v>
      </c>
      <c r="S27" s="2" t="s">
        <v>109</v>
      </c>
      <c r="U27" s="5">
        <f t="shared" si="0"/>
        <v>0</v>
      </c>
      <c r="V27" s="5">
        <f t="shared" si="1"/>
        <v>0</v>
      </c>
    </row>
    <row r="28" spans="1:22" x14ac:dyDescent="0.2">
      <c r="A28" t="s">
        <v>102</v>
      </c>
      <c r="B28" t="s">
        <v>103</v>
      </c>
      <c r="C28">
        <v>112157</v>
      </c>
      <c r="D28">
        <v>35.14</v>
      </c>
      <c r="E28">
        <v>-111.67</v>
      </c>
      <c r="F28">
        <v>2019</v>
      </c>
      <c r="G28" t="s">
        <v>21</v>
      </c>
      <c r="H28" s="4">
        <v>1675.8949221472501</v>
      </c>
      <c r="I28" s="4" t="s">
        <v>22</v>
      </c>
      <c r="J28" s="4" t="s">
        <v>110</v>
      </c>
      <c r="K28" s="4">
        <v>1765.0522249201799</v>
      </c>
      <c r="L28" s="4" t="s">
        <v>111</v>
      </c>
      <c r="M28" s="4" t="s">
        <v>112</v>
      </c>
      <c r="N28" s="4">
        <v>1675.8949221472501</v>
      </c>
      <c r="O28" s="4" t="s">
        <v>22</v>
      </c>
      <c r="P28" s="4" t="s">
        <v>110</v>
      </c>
      <c r="Q28" s="4">
        <v>1765.0522249201799</v>
      </c>
      <c r="R28" s="2" t="s">
        <v>111</v>
      </c>
      <c r="S28" s="2" t="s">
        <v>112</v>
      </c>
      <c r="U28" s="5">
        <f t="shared" si="0"/>
        <v>0</v>
      </c>
      <c r="V28" s="5">
        <f t="shared" si="1"/>
        <v>0</v>
      </c>
    </row>
    <row r="29" spans="1:22" x14ac:dyDescent="0.2">
      <c r="A29" t="s">
        <v>102</v>
      </c>
      <c r="B29" t="s">
        <v>103</v>
      </c>
      <c r="C29">
        <v>112157</v>
      </c>
      <c r="D29">
        <v>35.14</v>
      </c>
      <c r="E29">
        <v>-111.67</v>
      </c>
      <c r="F29">
        <v>2019</v>
      </c>
      <c r="G29" t="s">
        <v>26</v>
      </c>
      <c r="H29" s="4">
        <v>1683.38196975901</v>
      </c>
      <c r="I29" s="4" t="s">
        <v>33</v>
      </c>
      <c r="J29" s="4" t="s">
        <v>113</v>
      </c>
      <c r="K29" s="4">
        <v>1778.04271847734</v>
      </c>
      <c r="L29" s="4" t="s">
        <v>114</v>
      </c>
      <c r="M29" s="4" t="s">
        <v>115</v>
      </c>
      <c r="N29" s="4">
        <v>1683.38196975901</v>
      </c>
      <c r="O29" s="4" t="s">
        <v>33</v>
      </c>
      <c r="P29" s="4" t="s">
        <v>113</v>
      </c>
      <c r="Q29" s="4">
        <v>1778.04271847734</v>
      </c>
      <c r="R29" s="2" t="s">
        <v>114</v>
      </c>
      <c r="S29" s="2" t="s">
        <v>115</v>
      </c>
      <c r="U29" s="5">
        <f t="shared" si="0"/>
        <v>0</v>
      </c>
      <c r="V29" s="5">
        <f t="shared" si="1"/>
        <v>0</v>
      </c>
    </row>
    <row r="30" spans="1:22" x14ac:dyDescent="0.2">
      <c r="A30" t="s">
        <v>102</v>
      </c>
      <c r="B30" t="s">
        <v>103</v>
      </c>
      <c r="C30">
        <v>112157</v>
      </c>
      <c r="D30">
        <v>35.14</v>
      </c>
      <c r="E30">
        <v>-111.67</v>
      </c>
      <c r="F30">
        <v>2020</v>
      </c>
      <c r="G30" t="s">
        <v>21</v>
      </c>
      <c r="H30" s="4">
        <v>1675.8949221472501</v>
      </c>
      <c r="I30" s="4" t="s">
        <v>22</v>
      </c>
      <c r="J30" s="4" t="s">
        <v>116</v>
      </c>
      <c r="K30" s="4">
        <v>1765.93420955947</v>
      </c>
      <c r="L30" s="4" t="s">
        <v>117</v>
      </c>
      <c r="M30" s="4" t="s">
        <v>118</v>
      </c>
      <c r="N30" s="4">
        <v>1675.8949221472501</v>
      </c>
      <c r="O30" s="4" t="s">
        <v>22</v>
      </c>
      <c r="P30" s="4" t="s">
        <v>116</v>
      </c>
      <c r="Q30" s="4">
        <v>1765.93420955947</v>
      </c>
      <c r="R30" s="2" t="s">
        <v>117</v>
      </c>
      <c r="S30" s="2" t="s">
        <v>118</v>
      </c>
      <c r="U30" s="5">
        <f t="shared" si="0"/>
        <v>0</v>
      </c>
      <c r="V30" s="5">
        <f t="shared" si="1"/>
        <v>0</v>
      </c>
    </row>
    <row r="31" spans="1:22" x14ac:dyDescent="0.2">
      <c r="A31" t="s">
        <v>102</v>
      </c>
      <c r="B31" t="s">
        <v>103</v>
      </c>
      <c r="C31">
        <v>112157</v>
      </c>
      <c r="D31">
        <v>35.14</v>
      </c>
      <c r="E31">
        <v>-111.67</v>
      </c>
      <c r="F31">
        <v>2020</v>
      </c>
      <c r="G31" t="s">
        <v>26</v>
      </c>
      <c r="H31" s="4">
        <v>1751.62860572812</v>
      </c>
      <c r="I31" s="4" t="s">
        <v>40</v>
      </c>
      <c r="J31" s="4" t="s">
        <v>119</v>
      </c>
      <c r="K31" s="4">
        <v>1843.9880008995599</v>
      </c>
      <c r="L31" s="4" t="s">
        <v>120</v>
      </c>
      <c r="M31" s="4" t="s">
        <v>121</v>
      </c>
      <c r="N31" s="4">
        <v>1751.62860572812</v>
      </c>
      <c r="O31" s="4" t="s">
        <v>40</v>
      </c>
      <c r="P31" s="4" t="s">
        <v>119</v>
      </c>
      <c r="Q31" s="4">
        <v>1843.9880008995599</v>
      </c>
      <c r="R31" s="2" t="s">
        <v>120</v>
      </c>
      <c r="S31" s="2" t="s">
        <v>121</v>
      </c>
      <c r="U31" s="5">
        <f t="shared" si="0"/>
        <v>0</v>
      </c>
      <c r="V31" s="5">
        <f t="shared" si="1"/>
        <v>0</v>
      </c>
    </row>
    <row r="32" spans="1:22" x14ac:dyDescent="0.2">
      <c r="A32" t="s">
        <v>102</v>
      </c>
      <c r="B32" t="s">
        <v>103</v>
      </c>
      <c r="C32">
        <v>112157</v>
      </c>
      <c r="D32">
        <v>35.14</v>
      </c>
      <c r="E32">
        <v>-111.67</v>
      </c>
      <c r="F32">
        <v>2021</v>
      </c>
      <c r="G32" t="s">
        <v>21</v>
      </c>
      <c r="H32" s="4">
        <v>1675.8949221472501</v>
      </c>
      <c r="I32" s="4" t="s">
        <v>22</v>
      </c>
      <c r="J32" s="4" t="s">
        <v>122</v>
      </c>
      <c r="K32" s="4">
        <v>1771.7401524353199</v>
      </c>
      <c r="L32" s="4" t="s">
        <v>123</v>
      </c>
      <c r="M32" s="4" t="s">
        <v>124</v>
      </c>
      <c r="N32" s="4">
        <v>1675.8949221472501</v>
      </c>
      <c r="O32" s="4" t="s">
        <v>22</v>
      </c>
      <c r="P32" s="4" t="s">
        <v>122</v>
      </c>
      <c r="Q32" s="4">
        <v>1771.7401524353199</v>
      </c>
      <c r="R32" s="2" t="s">
        <v>123</v>
      </c>
      <c r="S32" s="2" t="s">
        <v>124</v>
      </c>
      <c r="U32" s="5">
        <f t="shared" si="0"/>
        <v>0</v>
      </c>
      <c r="V32" s="5">
        <f t="shared" si="1"/>
        <v>0</v>
      </c>
    </row>
    <row r="33" spans="1:22" x14ac:dyDescent="0.2">
      <c r="A33" t="s">
        <v>102</v>
      </c>
      <c r="B33" t="s">
        <v>103</v>
      </c>
      <c r="C33">
        <v>112157</v>
      </c>
      <c r="D33">
        <v>35.14</v>
      </c>
      <c r="E33">
        <v>-111.67</v>
      </c>
      <c r="F33">
        <v>2021</v>
      </c>
      <c r="G33" t="s">
        <v>26</v>
      </c>
      <c r="H33" s="4">
        <v>1695.15909159847</v>
      </c>
      <c r="I33" s="4" t="s">
        <v>47</v>
      </c>
      <c r="J33" s="4" t="s">
        <v>125</v>
      </c>
      <c r="K33" s="4">
        <v>1794.25816513925</v>
      </c>
      <c r="L33" s="4">
        <v>11336.0299276612</v>
      </c>
      <c r="M33" s="4" t="s">
        <v>126</v>
      </c>
      <c r="N33" s="4">
        <v>1695.15909159847</v>
      </c>
      <c r="O33" s="4" t="s">
        <v>47</v>
      </c>
      <c r="P33" s="4" t="s">
        <v>125</v>
      </c>
      <c r="Q33" s="4">
        <v>1794.25816513925</v>
      </c>
      <c r="R33" s="2">
        <v>11336.0299276612</v>
      </c>
      <c r="S33" s="2" t="s">
        <v>126</v>
      </c>
      <c r="U33" s="5">
        <f t="shared" si="0"/>
        <v>0</v>
      </c>
      <c r="V33" s="5">
        <f t="shared" si="1"/>
        <v>0</v>
      </c>
    </row>
    <row r="34" spans="1:22" x14ac:dyDescent="0.2">
      <c r="A34" t="s">
        <v>102</v>
      </c>
      <c r="B34" t="s">
        <v>103</v>
      </c>
      <c r="C34">
        <v>112157</v>
      </c>
      <c r="D34">
        <v>35.14</v>
      </c>
      <c r="E34">
        <v>-111.67</v>
      </c>
      <c r="F34">
        <v>2022</v>
      </c>
      <c r="G34" t="s">
        <v>21</v>
      </c>
      <c r="H34" s="4">
        <v>1675.8949221472501</v>
      </c>
      <c r="I34" s="4" t="s">
        <v>22</v>
      </c>
      <c r="J34" s="4" t="s">
        <v>127</v>
      </c>
      <c r="K34" s="4">
        <v>1766.0094523038499</v>
      </c>
      <c r="L34" s="4" t="s">
        <v>128</v>
      </c>
      <c r="M34" s="4" t="s">
        <v>129</v>
      </c>
      <c r="N34" s="4">
        <v>1675.8949221472501</v>
      </c>
      <c r="O34" s="4" t="s">
        <v>22</v>
      </c>
      <c r="P34" s="4" t="s">
        <v>127</v>
      </c>
      <c r="Q34" s="4">
        <v>1766.0094523038499</v>
      </c>
      <c r="R34" s="2" t="s">
        <v>128</v>
      </c>
      <c r="S34" s="2" t="s">
        <v>129</v>
      </c>
      <c r="U34" s="5">
        <f t="shared" si="0"/>
        <v>0</v>
      </c>
      <c r="V34" s="5">
        <f t="shared" si="1"/>
        <v>0</v>
      </c>
    </row>
    <row r="35" spans="1:22" x14ac:dyDescent="0.2">
      <c r="A35" t="s">
        <v>102</v>
      </c>
      <c r="B35" t="s">
        <v>103</v>
      </c>
      <c r="C35">
        <v>112157</v>
      </c>
      <c r="D35">
        <v>35.14</v>
      </c>
      <c r="E35">
        <v>-111.67</v>
      </c>
      <c r="F35">
        <v>2022</v>
      </c>
      <c r="G35" t="s">
        <v>26</v>
      </c>
      <c r="H35" s="4">
        <v>1682.9503926375801</v>
      </c>
      <c r="I35" s="4" t="s">
        <v>53</v>
      </c>
      <c r="J35" s="4" t="s">
        <v>130</v>
      </c>
      <c r="K35" s="4">
        <v>1778.6801295822499</v>
      </c>
      <c r="L35" s="4" t="s">
        <v>131</v>
      </c>
      <c r="M35" s="4" t="s">
        <v>132</v>
      </c>
      <c r="N35" s="4">
        <v>1682.9503926375801</v>
      </c>
      <c r="O35" s="4" t="s">
        <v>53</v>
      </c>
      <c r="P35" s="4" t="s">
        <v>130</v>
      </c>
      <c r="Q35" s="4">
        <v>1778.6801295822499</v>
      </c>
      <c r="R35" s="2" t="s">
        <v>131</v>
      </c>
      <c r="S35" s="2" t="s">
        <v>132</v>
      </c>
      <c r="U35" s="5">
        <f t="shared" si="0"/>
        <v>0</v>
      </c>
      <c r="V35" s="5">
        <f t="shared" si="1"/>
        <v>0</v>
      </c>
    </row>
    <row r="36" spans="1:22" x14ac:dyDescent="0.2">
      <c r="A36" t="s">
        <v>102</v>
      </c>
      <c r="B36" t="s">
        <v>103</v>
      </c>
      <c r="C36">
        <v>112157</v>
      </c>
      <c r="D36">
        <v>35.14</v>
      </c>
      <c r="E36">
        <v>-111.67</v>
      </c>
      <c r="F36">
        <v>2023</v>
      </c>
      <c r="G36" t="s">
        <v>21</v>
      </c>
      <c r="H36" s="4">
        <v>1675.8949221472501</v>
      </c>
      <c r="I36" s="4" t="s">
        <v>22</v>
      </c>
      <c r="J36" s="4" t="s">
        <v>133</v>
      </c>
      <c r="K36" s="4">
        <v>1750.31116644024</v>
      </c>
      <c r="L36" s="4">
        <v>11220.486109432701</v>
      </c>
      <c r="M36" s="4" t="s">
        <v>134</v>
      </c>
      <c r="N36" s="4">
        <v>1675.8949221472501</v>
      </c>
      <c r="O36" s="4" t="s">
        <v>22</v>
      </c>
      <c r="P36" s="4" t="s">
        <v>133</v>
      </c>
      <c r="Q36" s="4">
        <v>1750.31116644024</v>
      </c>
      <c r="R36" s="2">
        <v>11220.486109432701</v>
      </c>
      <c r="S36" s="2" t="s">
        <v>134</v>
      </c>
      <c r="U36" s="5">
        <f t="shared" si="0"/>
        <v>0</v>
      </c>
      <c r="V36" s="5">
        <f t="shared" si="1"/>
        <v>0</v>
      </c>
    </row>
    <row r="37" spans="1:22" x14ac:dyDescent="0.2">
      <c r="A37" t="s">
        <v>102</v>
      </c>
      <c r="B37" t="s">
        <v>103</v>
      </c>
      <c r="C37">
        <v>112157</v>
      </c>
      <c r="D37">
        <v>35.14</v>
      </c>
      <c r="E37">
        <v>-111.67</v>
      </c>
      <c r="F37">
        <v>2023</v>
      </c>
      <c r="G37" t="s">
        <v>26</v>
      </c>
      <c r="H37" s="4">
        <v>1722.03172849416</v>
      </c>
      <c r="I37" s="4" t="s">
        <v>60</v>
      </c>
      <c r="J37" s="4" t="s">
        <v>135</v>
      </c>
      <c r="K37" s="4">
        <v>1808.2032870046901</v>
      </c>
      <c r="L37" s="4" t="s">
        <v>136</v>
      </c>
      <c r="M37" s="4" t="s">
        <v>137</v>
      </c>
      <c r="N37" s="4">
        <v>1722.03172849416</v>
      </c>
      <c r="O37" s="4" t="s">
        <v>60</v>
      </c>
      <c r="P37" s="4" t="s">
        <v>135</v>
      </c>
      <c r="Q37" s="4">
        <v>1808.2032870046901</v>
      </c>
      <c r="R37" s="2" t="s">
        <v>136</v>
      </c>
      <c r="S37" s="2" t="s">
        <v>137</v>
      </c>
      <c r="U37" s="5">
        <f t="shared" si="0"/>
        <v>0</v>
      </c>
      <c r="V37" s="5">
        <f t="shared" si="1"/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battwatts_sensitivity_outputs_s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Speetles, Brittany</cp:lastModifiedBy>
  <dcterms:created xsi:type="dcterms:W3CDTF">2025-11-25T16:14:58Z</dcterms:created>
  <dcterms:modified xsi:type="dcterms:W3CDTF">2025-11-25T16:26:06Z</dcterms:modified>
</cp:coreProperties>
</file>